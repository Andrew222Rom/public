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ov.A.S\Documents\26\"/>
    </mc:Choice>
  </mc:AlternateContent>
  <bookViews>
    <workbookView xWindow="120" yWindow="15" windowWidth="15195" windowHeight="8190" activeTab="1"/>
  </bookViews>
  <sheets>
    <sheet name="1_Решить уравнение" sheetId="1" r:id="rId1"/>
    <sheet name="2_Расчет таблицы" sheetId="2" r:id="rId2"/>
    <sheet name="3_График" sheetId="10" r:id="rId3"/>
    <sheet name="4_Текстовые функции" sheetId="9" r:id="rId4"/>
    <sheet name="5_автомобили" sheetId="12" r:id="rId5"/>
    <sheet name="6_стипендия" sheetId="13" r:id="rId6"/>
    <sheet name="7_Расчет таблицы" sheetId="14" r:id="rId7"/>
    <sheet name="8_Сфетофор" sheetId="15" r:id="rId8"/>
    <sheet name="10_кредит" sheetId="17" r:id="rId9"/>
  </sheets>
  <definedNames>
    <definedName name="_xlnm._FilterDatabase" localSheetId="4" hidden="1">'5_автомобили'!$F$19:$F$103</definedName>
    <definedName name="_xlnm._FilterDatabase" localSheetId="5" hidden="1">'6_стипендия'!$G$16:$G$33</definedName>
  </definedNames>
  <calcPr calcId="152511"/>
</workbook>
</file>

<file path=xl/calcChain.xml><?xml version="1.0" encoding="utf-8"?>
<calcChain xmlns="http://schemas.openxmlformats.org/spreadsheetml/2006/main">
  <c r="N31" i="2" l="1"/>
  <c r="N32" i="2"/>
  <c r="N33" i="2"/>
  <c r="N34" i="2"/>
  <c r="N29" i="2"/>
  <c r="N30" i="2"/>
  <c r="N28" i="2"/>
  <c r="N25" i="2"/>
  <c r="N26" i="2"/>
  <c r="N27" i="2"/>
  <c r="N24" i="2"/>
  <c r="N21" i="2"/>
  <c r="N22" i="2"/>
  <c r="N23" i="2"/>
  <c r="N20" i="2"/>
  <c r="N19" i="2"/>
  <c r="N18" i="2"/>
  <c r="J6" i="17"/>
  <c r="I6" i="17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D16" i="15"/>
  <c r="I17" i="13"/>
  <c r="I32" i="13"/>
  <c r="I31" i="13"/>
  <c r="I29" i="13"/>
  <c r="I25" i="13"/>
  <c r="I26" i="13"/>
  <c r="I27" i="13"/>
  <c r="I24" i="13"/>
  <c r="I22" i="13"/>
  <c r="I18" i="13"/>
  <c r="I19" i="13"/>
  <c r="M14" i="13"/>
  <c r="K14" i="13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20" i="12"/>
  <c r="D14" i="12" s="1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20" i="12"/>
  <c r="H20" i="12"/>
  <c r="H37" i="12"/>
  <c r="H53" i="12"/>
  <c r="H38" i="12"/>
  <c r="H49" i="12"/>
  <c r="H76" i="12"/>
  <c r="H85" i="12"/>
  <c r="H58" i="12"/>
  <c r="H50" i="12"/>
  <c r="H103" i="12"/>
  <c r="H22" i="12"/>
  <c r="H83" i="12"/>
  <c r="H77" i="12"/>
  <c r="H54" i="12"/>
  <c r="H28" i="12"/>
  <c r="H40" i="12"/>
  <c r="H21" i="12"/>
  <c r="H59" i="12"/>
  <c r="H78" i="12"/>
  <c r="H72" i="12"/>
  <c r="H23" i="12"/>
  <c r="H41" i="12"/>
  <c r="H98" i="12"/>
  <c r="H86" i="12"/>
  <c r="H60" i="12"/>
  <c r="H61" i="12"/>
  <c r="H82" i="12"/>
  <c r="H87" i="12"/>
  <c r="H29" i="12"/>
  <c r="H88" i="12"/>
  <c r="H30" i="12"/>
  <c r="H31" i="12"/>
  <c r="H42" i="12"/>
  <c r="H84" i="12"/>
  <c r="H79" i="12"/>
  <c r="H89" i="12"/>
  <c r="H51" i="12"/>
  <c r="H43" i="12"/>
  <c r="H80" i="12"/>
  <c r="H55" i="12"/>
  <c r="H62" i="12"/>
  <c r="H52" i="12"/>
  <c r="H63" i="12"/>
  <c r="H73" i="12"/>
  <c r="H64" i="12"/>
  <c r="H24" i="12"/>
  <c r="H44" i="12"/>
  <c r="H25" i="12"/>
  <c r="H65" i="12"/>
  <c r="H39" i="12"/>
  <c r="H74" i="12"/>
  <c r="H56" i="12"/>
  <c r="H66" i="12"/>
  <c r="H97" i="12"/>
  <c r="H32" i="12"/>
  <c r="H33" i="12"/>
  <c r="H34" i="12"/>
  <c r="H67" i="12"/>
  <c r="H81" i="12"/>
  <c r="H45" i="12"/>
  <c r="H99" i="12"/>
  <c r="H90" i="12"/>
  <c r="H46" i="12"/>
  <c r="H68" i="12"/>
  <c r="H91" i="12"/>
  <c r="H69" i="12"/>
  <c r="H26" i="12"/>
  <c r="H100" i="12"/>
  <c r="H27" i="12"/>
  <c r="H70" i="12"/>
  <c r="H92" i="12"/>
  <c r="H75" i="12"/>
  <c r="H57" i="12"/>
  <c r="H93" i="12"/>
  <c r="H101" i="12"/>
  <c r="H35" i="12"/>
  <c r="H94" i="12"/>
  <c r="H36" i="12"/>
  <c r="H71" i="12"/>
  <c r="H95" i="12"/>
  <c r="H47" i="12"/>
  <c r="H48" i="12"/>
  <c r="H96" i="12"/>
  <c r="H102" i="12"/>
  <c r="S32" i="2"/>
  <c r="S33" i="2"/>
  <c r="S34" i="2"/>
  <c r="S31" i="2"/>
  <c r="S29" i="2"/>
  <c r="S30" i="2"/>
  <c r="S28" i="2"/>
  <c r="S25" i="2"/>
  <c r="S26" i="2"/>
  <c r="S27" i="2"/>
  <c r="S24" i="2"/>
  <c r="S21" i="2"/>
  <c r="S22" i="2"/>
  <c r="S23" i="2"/>
  <c r="S20" i="2"/>
  <c r="S19" i="2"/>
  <c r="S18" i="2"/>
  <c r="X32" i="2"/>
  <c r="X33" i="2"/>
  <c r="X34" i="2"/>
  <c r="X31" i="2"/>
  <c r="X29" i="2"/>
  <c r="X30" i="2"/>
  <c r="X28" i="2"/>
  <c r="X25" i="2"/>
  <c r="X26" i="2"/>
  <c r="X27" i="2"/>
  <c r="X24" i="2"/>
  <c r="X21" i="2"/>
  <c r="X22" i="2"/>
  <c r="X23" i="2"/>
  <c r="X20" i="2"/>
  <c r="X19" i="2"/>
  <c r="X18" i="2"/>
  <c r="Q18" i="2"/>
  <c r="L38" i="2"/>
  <c r="G24" i="2"/>
  <c r="G26" i="2"/>
  <c r="G28" i="2"/>
  <c r="G29" i="2"/>
  <c r="G30" i="2"/>
  <c r="G32" i="2"/>
  <c r="G33" i="2"/>
  <c r="G34" i="2"/>
  <c r="K17" i="2"/>
  <c r="L17" i="2" s="1"/>
  <c r="F33" i="2"/>
  <c r="F34" i="2"/>
  <c r="F35" i="2"/>
  <c r="G35" i="2" s="1"/>
  <c r="F32" i="2"/>
  <c r="F29" i="2"/>
  <c r="F30" i="2"/>
  <c r="F28" i="2"/>
  <c r="F24" i="2"/>
  <c r="F25" i="2"/>
  <c r="G25" i="2" s="1"/>
  <c r="F26" i="2"/>
  <c r="F23" i="2"/>
  <c r="G23" i="2" s="1"/>
  <c r="F19" i="2"/>
  <c r="G19" i="2" s="1"/>
  <c r="F20" i="2"/>
  <c r="G20" i="2" s="1"/>
  <c r="F21" i="2"/>
  <c r="G21" i="2" s="1"/>
  <c r="F18" i="2"/>
  <c r="G18" i="2" s="1"/>
  <c r="F16" i="2"/>
  <c r="G16" i="2" s="1"/>
  <c r="F15" i="2"/>
  <c r="G15" i="2" s="1"/>
  <c r="U17" i="2"/>
  <c r="V17" i="2" s="1"/>
  <c r="P17" i="2"/>
  <c r="Q17" i="2" s="1"/>
  <c r="B14" i="12" l="1"/>
  <c r="E14" i="12"/>
  <c r="C14" i="12"/>
  <c r="L25" i="2"/>
  <c r="M25" i="2" s="1"/>
  <c r="L26" i="2"/>
  <c r="M26" i="2" s="1"/>
  <c r="L18" i="2"/>
  <c r="M18" i="2" s="1"/>
  <c r="L32" i="2"/>
  <c r="M32" i="2" s="1"/>
  <c r="L31" i="2"/>
  <c r="M31" i="2" s="1"/>
  <c r="L27" i="2"/>
  <c r="M27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34" i="2"/>
  <c r="M34" i="2" s="1"/>
  <c r="L28" i="2"/>
  <c r="M28" i="2" s="1"/>
  <c r="L30" i="2"/>
  <c r="M30" i="2" s="1"/>
  <c r="L33" i="2"/>
  <c r="M33" i="2" s="1"/>
  <c r="L29" i="2"/>
  <c r="M29" i="2" s="1"/>
  <c r="Q32" i="2"/>
  <c r="R32" i="2" s="1"/>
  <c r="Q28" i="2"/>
  <c r="R28" i="2" s="1"/>
  <c r="Q26" i="2"/>
  <c r="R26" i="2" s="1"/>
  <c r="Q24" i="2"/>
  <c r="R24" i="2" s="1"/>
  <c r="Q23" i="2"/>
  <c r="R23" i="2" s="1"/>
  <c r="Q22" i="2"/>
  <c r="R22" i="2" s="1"/>
  <c r="Q19" i="2"/>
  <c r="R19" i="2" s="1"/>
  <c r="R18" i="2"/>
  <c r="Q25" i="2"/>
  <c r="R25" i="2" s="1"/>
  <c r="Q27" i="2"/>
  <c r="R27" i="2" s="1"/>
  <c r="Q21" i="2"/>
  <c r="R21" i="2" s="1"/>
  <c r="Q20" i="2"/>
  <c r="R20" i="2" s="1"/>
  <c r="V34" i="2"/>
  <c r="W34" i="2" s="1"/>
  <c r="V21" i="2"/>
  <c r="W21" i="2" s="1"/>
  <c r="V22" i="2"/>
  <c r="W22" i="2" s="1"/>
  <c r="V20" i="2"/>
  <c r="W20" i="2" s="1"/>
  <c r="V19" i="2"/>
  <c r="W19" i="2" s="1"/>
  <c r="V18" i="2"/>
  <c r="W18" i="2" s="1"/>
  <c r="V26" i="2"/>
  <c r="W26" i="2" s="1"/>
  <c r="V23" i="2"/>
  <c r="W23" i="2" s="1"/>
  <c r="V24" i="2"/>
  <c r="W24" i="2" s="1"/>
  <c r="V25" i="2"/>
  <c r="W25" i="2" s="1"/>
  <c r="Q34" i="2"/>
  <c r="R34" i="2" s="1"/>
  <c r="Q33" i="2"/>
  <c r="R33" i="2" s="1"/>
  <c r="V33" i="2"/>
  <c r="W33" i="2" s="1"/>
  <c r="Q30" i="2"/>
  <c r="R30" i="2" s="1"/>
  <c r="Q29" i="2"/>
  <c r="R29" i="2" s="1"/>
  <c r="Q31" i="2"/>
  <c r="R31" i="2" s="1"/>
  <c r="V28" i="2"/>
  <c r="W28" i="2" s="1"/>
  <c r="V30" i="2"/>
  <c r="W30" i="2" s="1"/>
  <c r="V32" i="2"/>
  <c r="W32" i="2" s="1"/>
  <c r="V27" i="2"/>
  <c r="W27" i="2" s="1"/>
  <c r="V29" i="2"/>
  <c r="W29" i="2" s="1"/>
  <c r="V31" i="2"/>
  <c r="W31" i="2" s="1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17" i="13"/>
  <c r="B17" i="1"/>
  <c r="B13" i="1"/>
  <c r="B16" i="1"/>
  <c r="B15" i="1"/>
  <c r="B14" i="1"/>
</calcChain>
</file>

<file path=xl/sharedStrings.xml><?xml version="1.0" encoding="utf-8"?>
<sst xmlns="http://schemas.openxmlformats.org/spreadsheetml/2006/main" count="579" uniqueCount="326">
  <si>
    <t>наименование</t>
  </si>
  <si>
    <t>длина</t>
  </si>
  <si>
    <t>ширина</t>
  </si>
  <si>
    <t>цена</t>
  </si>
  <si>
    <t>высота</t>
  </si>
  <si>
    <t xml:space="preserve">высота </t>
  </si>
  <si>
    <t>площадь поверхности без учета дверей и окон</t>
  </si>
  <si>
    <t>Комната 1</t>
  </si>
  <si>
    <t xml:space="preserve">Размеры комнаты задаются высотой , длиной и шириной . </t>
  </si>
  <si>
    <t>Комната 2</t>
  </si>
  <si>
    <t>Комната 3</t>
  </si>
  <si>
    <t>высота (м)</t>
  </si>
  <si>
    <t>длина (м)</t>
  </si>
  <si>
    <t>ширина(м)</t>
  </si>
  <si>
    <t>обои</t>
  </si>
  <si>
    <t>бумажные</t>
  </si>
  <si>
    <t>длина рулона</t>
  </si>
  <si>
    <t>виниловые</t>
  </si>
  <si>
    <t>флизелиновые</t>
  </si>
  <si>
    <t>под покраску</t>
  </si>
  <si>
    <t xml:space="preserve">текстильные </t>
  </si>
  <si>
    <t>Для ремонта квартиры необходимо приобрести обои.</t>
  </si>
  <si>
    <t>Размеры и стоимость подходящих  по дизайну обоев приведены в таблице:</t>
  </si>
  <si>
    <t>2. стоимость  этих рулонов</t>
  </si>
  <si>
    <t xml:space="preserve">а при раскрое 10% площади рулона уходит на обрезки. </t>
  </si>
  <si>
    <t xml:space="preserve">1. необходимое  количество рулонов  для всех видов обоев </t>
  </si>
  <si>
    <t xml:space="preserve">   (целое число, округленное в большую сторону);</t>
  </si>
  <si>
    <t xml:space="preserve">1. Рассчитать для каждой комнаты: </t>
  </si>
  <si>
    <t xml:space="preserve">2. При этом  учесть, что 15% площади стен комнаты занимают окна и двери, </t>
  </si>
  <si>
    <t>3. Отформатировать таблицу (границы и заливка) на свое усмотрение</t>
  </si>
  <si>
    <t>При изменении размеров комнаты таблица должна автоматически пересчитываться.</t>
  </si>
  <si>
    <t xml:space="preserve">Найти корни уравнения: </t>
  </si>
  <si>
    <t>b) с помощью функции "Подбор параметра".</t>
  </si>
  <si>
    <t>a) графическим способом ;</t>
  </si>
  <si>
    <t xml:space="preserve">    Точность вычисления корней - 5 знаков после запятой.</t>
  </si>
  <si>
    <t>Системный администратор решил придумать логин и пароль каждому пользователю,</t>
  </si>
  <si>
    <t>чтобы разграничить их права пользования базой данных.</t>
  </si>
  <si>
    <t>Логин состоит из первых трех букв фамилии, первой буквы имени, нижнего подчеркивания и количества символов в названии должности.</t>
  </si>
  <si>
    <t>Используя текстовые функции вычислить логин и пароль.</t>
  </si>
  <si>
    <t>Пример</t>
  </si>
  <si>
    <t>№ п/п</t>
  </si>
  <si>
    <t>Фамилия</t>
  </si>
  <si>
    <t>Имя</t>
  </si>
  <si>
    <t>Должность</t>
  </si>
  <si>
    <t>Группа товаров</t>
  </si>
  <si>
    <t>Логин</t>
  </si>
  <si>
    <t>Пароль</t>
  </si>
  <si>
    <t>Борисов</t>
  </si>
  <si>
    <t>Иван</t>
  </si>
  <si>
    <t>менеджер по закупкам</t>
  </si>
  <si>
    <t>Леска для триммера  #BNS-2415</t>
  </si>
  <si>
    <t>БорИ_20</t>
  </si>
  <si>
    <t>BNS-2415_М</t>
  </si>
  <si>
    <t>Гусев</t>
  </si>
  <si>
    <t>Павел</t>
  </si>
  <si>
    <t>менеджер по продажам</t>
  </si>
  <si>
    <t>Леска для триммера  #BNS-2715</t>
  </si>
  <si>
    <t>Комаров</t>
  </si>
  <si>
    <t>Анатолий</t>
  </si>
  <si>
    <t>Леска для триммера  #BNS-3015</t>
  </si>
  <si>
    <t>Комарова</t>
  </si>
  <si>
    <t>Антонина</t>
  </si>
  <si>
    <t>Малышева</t>
  </si>
  <si>
    <t>Лариса</t>
  </si>
  <si>
    <t>руководитель отдела закупок</t>
  </si>
  <si>
    <t>Леска для триммера  #BNS-16189</t>
  </si>
  <si>
    <t>Печкина</t>
  </si>
  <si>
    <t>Наталья</t>
  </si>
  <si>
    <t>бухгалтер</t>
  </si>
  <si>
    <t>Бугхалтерские отчеты  #BU-1</t>
  </si>
  <si>
    <t>Пулькина</t>
  </si>
  <si>
    <t>Оксана</t>
  </si>
  <si>
    <t>Пчелкин</t>
  </si>
  <si>
    <t>генеральный директор</t>
  </si>
  <si>
    <t>Вся информация для чтения  #VI-1</t>
  </si>
  <si>
    <t>Смирнов</t>
  </si>
  <si>
    <t>Раиса</t>
  </si>
  <si>
    <t>главный бухгалтер</t>
  </si>
  <si>
    <t>Бухгалтерские отчеты  #BU-2</t>
  </si>
  <si>
    <t>Степин</t>
  </si>
  <si>
    <t>Петр</t>
  </si>
  <si>
    <t>руководитель отдела продаж</t>
  </si>
  <si>
    <t>Пила цепная электрическая  #BKT-1440</t>
  </si>
  <si>
    <t>Тунцова</t>
  </si>
  <si>
    <t>Ольга</t>
  </si>
  <si>
    <t>Пила цепная электрическая  #BKT-1635</t>
  </si>
  <si>
    <r>
      <t xml:space="preserve">(переменные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и</t>
    </r>
    <r>
      <rPr>
        <sz val="14"/>
        <color theme="1"/>
        <rFont val="Times New Roman"/>
        <family val="1"/>
        <charset val="204"/>
      </rPr>
      <t xml:space="preserve"> </t>
    </r>
    <r>
      <rPr>
        <b/>
        <i/>
        <sz val="14"/>
        <color theme="1"/>
        <rFont val="Times New Roman"/>
        <family val="1"/>
        <charset val="204"/>
      </rPr>
      <t>y</t>
    </r>
    <r>
      <rPr>
        <b/>
        <i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связаны между собой через переменную </t>
    </r>
    <r>
      <rPr>
        <b/>
        <i/>
        <sz val="14"/>
        <color theme="1"/>
        <rFont val="Symbol"/>
        <family val="1"/>
        <charset val="2"/>
      </rPr>
      <t>a</t>
    </r>
    <r>
      <rPr>
        <sz val="12"/>
        <color theme="1"/>
        <rFont val="Times New Roman"/>
        <family val="1"/>
        <charset val="204"/>
      </rPr>
      <t>)</t>
    </r>
  </si>
  <si>
    <r>
      <t xml:space="preserve">Постройте график функции </t>
    </r>
    <r>
      <rPr>
        <b/>
        <i/>
        <sz val="14"/>
        <color theme="1"/>
        <rFont val="Times New Roman"/>
        <family val="1"/>
        <charset val="204"/>
      </rPr>
      <t>y=f(x)</t>
    </r>
    <r>
      <rPr>
        <sz val="12"/>
        <color theme="1"/>
        <rFont val="Times New Roman"/>
        <family val="1"/>
        <charset val="204"/>
      </rPr>
      <t>, которая описывается следующими уравнениями:</t>
    </r>
  </si>
  <si>
    <r>
      <t>a</t>
    </r>
    <r>
      <rPr>
        <sz val="12"/>
        <color theme="1"/>
        <rFont val="Times New Roman"/>
        <family val="1"/>
        <charset val="204"/>
      </rPr>
      <t xml:space="preserve"> меняется в интервале от </t>
    </r>
    <r>
      <rPr>
        <b/>
        <sz val="12"/>
        <color theme="1"/>
        <rFont val="Times New Roman"/>
        <family val="1"/>
        <charset val="204"/>
      </rPr>
      <t>-</t>
    </r>
    <r>
      <rPr>
        <b/>
        <sz val="14"/>
        <color theme="1"/>
        <rFont val="Times New Roman"/>
        <family val="1"/>
        <charset val="204"/>
      </rPr>
      <t>360</t>
    </r>
    <r>
      <rPr>
        <b/>
        <vertAlign val="superscript"/>
        <sz val="14"/>
        <color theme="1"/>
        <rFont val="Times New Roman"/>
        <family val="1"/>
        <charset val="204"/>
      </rPr>
      <t>0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до </t>
    </r>
    <r>
      <rPr>
        <b/>
        <sz val="14"/>
        <color theme="1"/>
        <rFont val="Times New Roman"/>
        <family val="1"/>
        <charset val="204"/>
      </rPr>
      <t>+360</t>
    </r>
    <r>
      <rPr>
        <b/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2"/>
        <color theme="1"/>
        <rFont val="Times New Roman"/>
        <family val="1"/>
        <charset val="204"/>
      </rPr>
      <t xml:space="preserve">с шагом </t>
    </r>
    <r>
      <rPr>
        <b/>
        <sz val="14"/>
        <color theme="1"/>
        <rFont val="Times New Roman"/>
        <family val="1"/>
        <charset val="204"/>
      </rPr>
      <t>0,2</t>
    </r>
  </si>
  <si>
    <r>
      <t>x=5*cos (3</t>
    </r>
    <r>
      <rPr>
        <b/>
        <i/>
        <sz val="14"/>
        <color theme="1"/>
        <rFont val="Symbol"/>
        <family val="1"/>
        <charset val="2"/>
      </rPr>
      <t>a</t>
    </r>
    <r>
      <rPr>
        <b/>
        <i/>
        <sz val="14"/>
        <color theme="1"/>
        <rFont val="Times New Roman"/>
        <family val="1"/>
        <charset val="204"/>
      </rPr>
      <t>),</t>
    </r>
  </si>
  <si>
    <r>
      <t>y=5*sin (2</t>
    </r>
    <r>
      <rPr>
        <b/>
        <i/>
        <sz val="14"/>
        <color theme="1"/>
        <rFont val="Symbol"/>
        <family val="1"/>
        <charset val="2"/>
      </rPr>
      <t>a</t>
    </r>
    <r>
      <rPr>
        <b/>
        <i/>
        <sz val="14"/>
        <color theme="1"/>
        <rFont val="Times New Roman"/>
        <family val="1"/>
        <charset val="204"/>
      </rPr>
      <t xml:space="preserve">), </t>
    </r>
  </si>
  <si>
    <t>и первой заглавной буквы в наименовании должности.</t>
  </si>
  <si>
    <t xml:space="preserve">Пароль состоит из  буквенного обозначения, стоящего в "Группе товаров" после знака #, нижнего подчеркивания </t>
  </si>
  <si>
    <t>Сумма денег</t>
  </si>
  <si>
    <t>Оптимальная 
сумма</t>
  </si>
  <si>
    <t>Счетесли</t>
  </si>
  <si>
    <t>Количество</t>
  </si>
  <si>
    <t>Имеется</t>
  </si>
  <si>
    <t>№</t>
  </si>
  <si>
    <t xml:space="preserve">Марка </t>
  </si>
  <si>
    <t>Цвет</t>
  </si>
  <si>
    <t>Год</t>
  </si>
  <si>
    <t>Пробег</t>
  </si>
  <si>
    <t>Стоимость</t>
  </si>
  <si>
    <t>Телефон</t>
  </si>
  <si>
    <t>п/п</t>
  </si>
  <si>
    <t>авто</t>
  </si>
  <si>
    <t>вып.</t>
  </si>
  <si>
    <t>тыс.км</t>
  </si>
  <si>
    <t>ВАЗ-2105</t>
  </si>
  <si>
    <t>зеленый</t>
  </si>
  <si>
    <t>111-55-55</t>
  </si>
  <si>
    <t>рубин</t>
  </si>
  <si>
    <t>154-55-45</t>
  </si>
  <si>
    <t>светло-бежевый</t>
  </si>
  <si>
    <t>458-44-55</t>
  </si>
  <si>
    <t>белый</t>
  </si>
  <si>
    <t>124-45-88</t>
  </si>
  <si>
    <t>457-45-55</t>
  </si>
  <si>
    <t>454-55-55</t>
  </si>
  <si>
    <t>дипломат</t>
  </si>
  <si>
    <t>232-56-44</t>
  </si>
  <si>
    <t>128-45-99</t>
  </si>
  <si>
    <t>777-77-77</t>
  </si>
  <si>
    <t>черный</t>
  </si>
  <si>
    <t>444-44-44</t>
  </si>
  <si>
    <t>ВАЗ-2104</t>
  </si>
  <si>
    <t>458-45-54</t>
  </si>
  <si>
    <t>124-45-65</t>
  </si>
  <si>
    <t>сафари</t>
  </si>
  <si>
    <t>231-45-65</t>
  </si>
  <si>
    <t>565-55-55</t>
  </si>
  <si>
    <t>666-55-99</t>
  </si>
  <si>
    <t>989-44-55</t>
  </si>
  <si>
    <t>888-55-66</t>
  </si>
  <si>
    <t>синий</t>
  </si>
  <si>
    <t>585-89-99</t>
  </si>
  <si>
    <t>124-58-85</t>
  </si>
  <si>
    <t>454-99-88</t>
  </si>
  <si>
    <t>478-56-88</t>
  </si>
  <si>
    <t>ВАЗ-2106</t>
  </si>
  <si>
    <t>валентина</t>
  </si>
  <si>
    <t>466-66-89</t>
  </si>
  <si>
    <t>222-22-33</t>
  </si>
  <si>
    <t>232-56-65</t>
  </si>
  <si>
    <t>241-09-09</t>
  </si>
  <si>
    <t>120-12-12</t>
  </si>
  <si>
    <t>123-33-33</t>
  </si>
  <si>
    <t>бежевый</t>
  </si>
  <si>
    <t>125-66-55</t>
  </si>
  <si>
    <t>126-77-77</t>
  </si>
  <si>
    <t>154-77-88</t>
  </si>
  <si>
    <t>156-77-88</t>
  </si>
  <si>
    <t>156-77-98</t>
  </si>
  <si>
    <t>светло-серый</t>
  </si>
  <si>
    <t>198-90-88</t>
  </si>
  <si>
    <t xml:space="preserve">синий    </t>
  </si>
  <si>
    <t>145-65-65</t>
  </si>
  <si>
    <t>176-87-87</t>
  </si>
  <si>
    <t>132-65-56</t>
  </si>
  <si>
    <t>132-44-66</t>
  </si>
  <si>
    <t>127-88-77</t>
  </si>
  <si>
    <t>199-88-77</t>
  </si>
  <si>
    <t>177-88-34</t>
  </si>
  <si>
    <t>красный</t>
  </si>
  <si>
    <t>154-66-88</t>
  </si>
  <si>
    <t>190-09-09</t>
  </si>
  <si>
    <t>голубой</t>
  </si>
  <si>
    <t>134-67-87</t>
  </si>
  <si>
    <t>333-55-76</t>
  </si>
  <si>
    <t>343-65-65</t>
  </si>
  <si>
    <t>677-88-55</t>
  </si>
  <si>
    <t>366-77-88</t>
  </si>
  <si>
    <t>345-66-99</t>
  </si>
  <si>
    <t>343-55-66</t>
  </si>
  <si>
    <t>233-55-66</t>
  </si>
  <si>
    <t>555-66-77</t>
  </si>
  <si>
    <t>777-66-55</t>
  </si>
  <si>
    <t>серо-голубой</t>
  </si>
  <si>
    <t>223-44-55</t>
  </si>
  <si>
    <t>вишневый</t>
  </si>
  <si>
    <t>231-55-66</t>
  </si>
  <si>
    <t>светло-коричневый</t>
  </si>
  <si>
    <t>564-99-99</t>
  </si>
  <si>
    <t>113-55-66</t>
  </si>
  <si>
    <t>155-66-44</t>
  </si>
  <si>
    <t>188-56-98</t>
  </si>
  <si>
    <t>109-90-99</t>
  </si>
  <si>
    <t>123-55-66</t>
  </si>
  <si>
    <t>ВАЗ-2107</t>
  </si>
  <si>
    <t>155-77-88</t>
  </si>
  <si>
    <t>133-55-77</t>
  </si>
  <si>
    <t>134-66-55</t>
  </si>
  <si>
    <t>165-77-99</t>
  </si>
  <si>
    <t>232-55-77</t>
  </si>
  <si>
    <t>545-66-54</t>
  </si>
  <si>
    <t>565-76-08</t>
  </si>
  <si>
    <t>132-56-78</t>
  </si>
  <si>
    <t>145-87-09</t>
  </si>
  <si>
    <t>145-77-66</t>
  </si>
  <si>
    <t>277-88-09</t>
  </si>
  <si>
    <t>290-09-09</t>
  </si>
  <si>
    <t>234-65-90</t>
  </si>
  <si>
    <t>365-78-77</t>
  </si>
  <si>
    <t>234-65-09</t>
  </si>
  <si>
    <t>154-76-88</t>
  </si>
  <si>
    <t>145-76-87</t>
  </si>
  <si>
    <t>189-98-65</t>
  </si>
  <si>
    <t>234-76-88</t>
  </si>
  <si>
    <t>345-66-88</t>
  </si>
  <si>
    <t>444-55-77</t>
  </si>
  <si>
    <t>555-23-65</t>
  </si>
  <si>
    <t>145-76-88</t>
  </si>
  <si>
    <t>243-65-77</t>
  </si>
  <si>
    <t>Список</t>
  </si>
  <si>
    <t>Дифф.</t>
  </si>
  <si>
    <t>Аналит.</t>
  </si>
  <si>
    <t>Тензор</t>
  </si>
  <si>
    <t>Векторн</t>
  </si>
  <si>
    <t>Теория</t>
  </si>
  <si>
    <t>Общий</t>
  </si>
  <si>
    <t>Стипендия</t>
  </si>
  <si>
    <t xml:space="preserve">Сумма </t>
  </si>
  <si>
    <t>студентов</t>
  </si>
  <si>
    <t>ур-я</t>
  </si>
  <si>
    <t>геометр</t>
  </si>
  <si>
    <t>анализ</t>
  </si>
  <si>
    <t>алгебра</t>
  </si>
  <si>
    <t>групп</t>
  </si>
  <si>
    <t>балл</t>
  </si>
  <si>
    <t>да/нет/повыш</t>
  </si>
  <si>
    <t>стипендии</t>
  </si>
  <si>
    <t>Иванов</t>
  </si>
  <si>
    <t>Петров</t>
  </si>
  <si>
    <t>Сидоров</t>
  </si>
  <si>
    <t>Савельев</t>
  </si>
  <si>
    <t>Смирнова</t>
  </si>
  <si>
    <t>Степанова</t>
  </si>
  <si>
    <t>Васильев</t>
  </si>
  <si>
    <t>Васина</t>
  </si>
  <si>
    <t>Деточкин</t>
  </si>
  <si>
    <t>Ленский</t>
  </si>
  <si>
    <t>Шемуранов</t>
  </si>
  <si>
    <t>Невзоров</t>
  </si>
  <si>
    <t>Ципинов</t>
  </si>
  <si>
    <t>Носов</t>
  </si>
  <si>
    <t>Солнцев</t>
  </si>
  <si>
    <t>Котов</t>
  </si>
  <si>
    <t>Котовский</t>
  </si>
  <si>
    <t xml:space="preserve">Предприятие продает лес. Цена 1 куб. метра  леса составляет 53$. </t>
  </si>
  <si>
    <t xml:space="preserve">Количество леса (в кубах), проданное предприятием за прошлый год, приведено в таблице. </t>
  </si>
  <si>
    <t>Янв</t>
  </si>
  <si>
    <t>Фев</t>
  </si>
  <si>
    <t>Март</t>
  </si>
  <si>
    <t>Апр</t>
  </si>
  <si>
    <t>Май</t>
  </si>
  <si>
    <t>Июнь</t>
  </si>
  <si>
    <t>Июль</t>
  </si>
  <si>
    <t>Авг</t>
  </si>
  <si>
    <t>Сен</t>
  </si>
  <si>
    <t>Окт</t>
  </si>
  <si>
    <t>Ноя</t>
  </si>
  <si>
    <t>Дек</t>
  </si>
  <si>
    <t>С предприятия каждый месяц взимаются налоги в размере  25% от продажи.</t>
  </si>
  <si>
    <t xml:space="preserve">Кроме того, 30% предприятие каждый месяц расходует на зарплату  и другие нужды предприятия. </t>
  </si>
  <si>
    <t xml:space="preserve">Рассчитайте выручку предприятия за каждый месяц и за год в $ и в рублях. </t>
  </si>
  <si>
    <t xml:space="preserve">Если выручка за год превышает 500 000, предприятие тратит 15%  от годовой выручки на </t>
  </si>
  <si>
    <t>на усовершенствования технологии обработки леса, иначе – 10%. </t>
  </si>
  <si>
    <t>В конце каждого года предприятие тратит часть годовой выручки на усовершенствования технологии обработки леса. </t>
  </si>
  <si>
    <t>Текущий курс доллара 29,8 руб.</t>
  </si>
  <si>
    <t xml:space="preserve">Выполните условное форматирование ячеек таблицы таким образом, чтобы при вводе в ячейку А2 </t>
  </si>
  <si>
    <t>поочередно слов красный, желтый, зеленый зажигались соответствующие лампочки светофора.</t>
  </si>
  <si>
    <t xml:space="preserve">Создайте на  листе электронной таблицы изображение светофора с помощью заливки ячеек и автофигур. </t>
  </si>
  <si>
    <t>x</t>
  </si>
  <si>
    <t>y</t>
  </si>
  <si>
    <t>площадь</t>
  </si>
  <si>
    <t>Площадь</t>
  </si>
  <si>
    <t>Площадь рулона</t>
  </si>
  <si>
    <t>площадь итоговая</t>
  </si>
  <si>
    <t>Площадь итоговая</t>
  </si>
  <si>
    <t>Итоговая плорщадь</t>
  </si>
  <si>
    <t>бумажные 1</t>
  </si>
  <si>
    <t>бумажные 2</t>
  </si>
  <si>
    <t>виниловые 1</t>
  </si>
  <si>
    <t>виниловые 2</t>
  </si>
  <si>
    <t>виниловые 3</t>
  </si>
  <si>
    <t>виниловые 4</t>
  </si>
  <si>
    <t>флизелиновые 1</t>
  </si>
  <si>
    <t>флизелиновые 2</t>
  </si>
  <si>
    <t>флизелиновые 3</t>
  </si>
  <si>
    <t>флизелиновые 4</t>
  </si>
  <si>
    <t>окраска 1</t>
  </si>
  <si>
    <t>окраска 2</t>
  </si>
  <si>
    <t>окраска 3</t>
  </si>
  <si>
    <t>текстильные 1</t>
  </si>
  <si>
    <t>текстильные 2</t>
  </si>
  <si>
    <t>текстильные 3</t>
  </si>
  <si>
    <t>текстильные 4</t>
  </si>
  <si>
    <t>Количество рулонов</t>
  </si>
  <si>
    <t>стоимость рулонов</t>
  </si>
  <si>
    <t>Кредит</t>
  </si>
  <si>
    <t>Обычная степендия</t>
  </si>
  <si>
    <t>да</t>
  </si>
  <si>
    <t>нет</t>
  </si>
  <si>
    <t>повыш</t>
  </si>
  <si>
    <t>год 1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</si>
  <si>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</si>
  <si>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</si>
  <si>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</si>
  <si>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</si>
  <si>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</si>
  <si>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</si>
  <si>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</si>
  <si>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</si>
  <si>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</si>
  <si>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</si>
  <si>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</si>
  <si>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</si>
  <si>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 2</t>
  </si>
  <si>
    <t>сумма кредита</t>
  </si>
  <si>
    <t xml:space="preserve">срок кредита </t>
  </si>
  <si>
    <t>%</t>
  </si>
  <si>
    <t>% с долга</t>
  </si>
  <si>
    <t>Сумма %</t>
  </si>
  <si>
    <t>сумма % в месяц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</si>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</sst>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.00\ _р_._-;\-* #,##0.00\ _р_._-;_-* &quot;-&quot;??\ _р_._-;_-@_-"/>
    <numFmt numFmtId="167" formatCode="[$$-C09]#,##0"/>
    <numFmt numFmtId="168" formatCode="[$$-409]#,##0"/>
    <numFmt numFmtId="169" formatCode="_-* #,##0\ _р_._-;\-* #,##0\ _р_._-;_-* &quot;-&quot;??\ _р_._-;_-@_-"/>
    <numFmt numFmtId="170" formatCode="0.0"/>
    <numFmt numFmtId="171" formatCode="0.00000"/>
  </numFmts>
  <fonts count="26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1"/>
      <name val="Symbol"/>
      <family val="1"/>
      <charset val="2"/>
    </font>
    <font>
      <b/>
      <i/>
      <sz val="14"/>
      <color theme="1"/>
      <name val="Times New Roman"/>
      <family val="1"/>
      <charset val="204"/>
    </font>
    <font>
      <b/>
      <i/>
      <sz val="14"/>
      <color theme="1"/>
      <name val="Symbol"/>
      <family val="1"/>
      <charset val="2"/>
    </font>
    <font>
      <b/>
      <sz val="14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sz val="10"/>
      <color indexed="8"/>
      <name val="Arial Cyr"/>
      <charset val="204"/>
    </font>
    <font>
      <b/>
      <i/>
      <sz val="10"/>
      <name val="Arial Cyr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Arial Cyr"/>
      <family val="2"/>
      <charset val="204"/>
    </font>
    <font>
      <sz val="12"/>
      <color theme="1"/>
      <name val="Consolas"/>
      <family val="3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rgb="FFCCFFCC"/>
        <bgColor indexed="2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6" fillId="0" borderId="0"/>
    <xf numFmtId="0" fontId="16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horizontal="left" indent="6"/>
    </xf>
    <xf numFmtId="0" fontId="0" fillId="0" borderId="0" xfId="0" quotePrefix="1"/>
    <xf numFmtId="0" fontId="0" fillId="0" borderId="0" xfId="0" applyNumberFormat="1"/>
    <xf numFmtId="0" fontId="4" fillId="0" borderId="0" xfId="0" applyFont="1"/>
    <xf numFmtId="0" fontId="4" fillId="3" borderId="5" xfId="0" applyFont="1" applyFill="1" applyBorder="1"/>
    <xf numFmtId="0" fontId="4" fillId="3" borderId="1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0" fillId="0" borderId="0" xfId="0" quotePrefix="1" applyAlignment="1">
      <alignment horizontal="center"/>
    </xf>
    <xf numFmtId="0" fontId="3" fillId="2" borderId="11" xfId="0" applyFont="1" applyFill="1" applyBorder="1" applyAlignment="1"/>
    <xf numFmtId="0" fontId="0" fillId="2" borderId="12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3" fillId="3" borderId="10" xfId="0" applyFont="1" applyFill="1" applyBorder="1"/>
    <xf numFmtId="0" fontId="3" fillId="3" borderId="10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7" xfId="0" applyFont="1" applyFill="1" applyBorder="1"/>
    <xf numFmtId="0" fontId="5" fillId="0" borderId="0" xfId="0" applyFont="1"/>
    <xf numFmtId="0" fontId="3" fillId="2" borderId="0" xfId="0" applyFont="1" applyFill="1" applyBorder="1" applyAlignment="1"/>
    <xf numFmtId="0" fontId="0" fillId="2" borderId="0" xfId="0" applyFill="1" applyBorder="1"/>
    <xf numFmtId="0" fontId="3" fillId="2" borderId="17" xfId="0" applyFont="1" applyFill="1" applyBorder="1" applyAlignment="1"/>
    <xf numFmtId="0" fontId="0" fillId="2" borderId="18" xfId="0" applyFill="1" applyBorder="1"/>
    <xf numFmtId="0" fontId="3" fillId="2" borderId="0" xfId="0" applyFont="1" applyFill="1" applyBorder="1"/>
    <xf numFmtId="0" fontId="0" fillId="2" borderId="17" xfId="0" applyFill="1" applyBorder="1"/>
    <xf numFmtId="0" fontId="0" fillId="2" borderId="14" xfId="0" applyFill="1" applyBorder="1"/>
    <xf numFmtId="0" fontId="3" fillId="2" borderId="15" xfId="0" applyFont="1" applyFill="1" applyBorder="1" applyAlignment="1"/>
    <xf numFmtId="0" fontId="6" fillId="0" borderId="0" xfId="1"/>
    <xf numFmtId="0" fontId="7" fillId="0" borderId="0" xfId="1" applyFont="1"/>
    <xf numFmtId="0" fontId="8" fillId="0" borderId="0" xfId="1" applyFont="1"/>
    <xf numFmtId="0" fontId="6" fillId="4" borderId="1" xfId="1" applyFill="1" applyBorder="1"/>
    <xf numFmtId="0" fontId="3" fillId="0" borderId="0" xfId="0" applyFont="1" applyAlignment="1">
      <alignment horizontal="justify"/>
    </xf>
    <xf numFmtId="0" fontId="3" fillId="0" borderId="0" xfId="0" applyFont="1" applyAlignment="1">
      <alignment horizontal="left"/>
    </xf>
    <xf numFmtId="0" fontId="6" fillId="2" borderId="11" xfId="1" applyFill="1" applyBorder="1"/>
    <xf numFmtId="0" fontId="6" fillId="2" borderId="12" xfId="1" applyFill="1" applyBorder="1"/>
    <xf numFmtId="0" fontId="6" fillId="2" borderId="13" xfId="1" applyFill="1" applyBorder="1"/>
    <xf numFmtId="0" fontId="6" fillId="2" borderId="17" xfId="1" applyFill="1" applyBorder="1"/>
    <xf numFmtId="0" fontId="6" fillId="2" borderId="0" xfId="1" applyFill="1" applyBorder="1"/>
    <xf numFmtId="0" fontId="6" fillId="2" borderId="18" xfId="1" applyFill="1" applyBorder="1"/>
    <xf numFmtId="0" fontId="6" fillId="2" borderId="14" xfId="1" applyFill="1" applyBorder="1"/>
    <xf numFmtId="0" fontId="6" fillId="2" borderId="15" xfId="1" applyFill="1" applyBorder="1"/>
    <xf numFmtId="0" fontId="6" fillId="2" borderId="16" xfId="1" applyFill="1" applyBorder="1"/>
    <xf numFmtId="0" fontId="6" fillId="0" borderId="1" xfId="1" applyFill="1" applyBorder="1"/>
    <xf numFmtId="0" fontId="3" fillId="2" borderId="11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justify"/>
    </xf>
    <xf numFmtId="0" fontId="3" fillId="2" borderId="17" xfId="0" applyFont="1" applyFill="1" applyBorder="1" applyAlignment="1">
      <alignment horizontal="left"/>
    </xf>
    <xf numFmtId="0" fontId="11" fillId="2" borderId="14" xfId="0" applyFont="1" applyFill="1" applyBorder="1" applyAlignment="1">
      <alignment horizontal="left"/>
    </xf>
    <xf numFmtId="0" fontId="3" fillId="2" borderId="11" xfId="0" applyFont="1" applyFill="1" applyBorder="1"/>
    <xf numFmtId="0" fontId="3" fillId="2" borderId="17" xfId="0" applyFont="1" applyFill="1" applyBorder="1"/>
    <xf numFmtId="0" fontId="3" fillId="2" borderId="14" xfId="0" applyFont="1" applyFill="1" applyBorder="1"/>
    <xf numFmtId="0" fontId="3" fillId="0" borderId="0" xfId="0" applyNumberFormat="1" applyFont="1" applyFill="1"/>
    <xf numFmtId="0" fontId="0" fillId="0" borderId="0" xfId="0" applyFill="1"/>
    <xf numFmtId="0" fontId="3" fillId="2" borderId="17" xfId="0" applyNumberFormat="1" applyFont="1" applyFill="1" applyBorder="1"/>
    <xf numFmtId="0" fontId="3" fillId="2" borderId="14" xfId="0" applyNumberFormat="1" applyFont="1" applyFill="1" applyBorder="1"/>
    <xf numFmtId="0" fontId="3" fillId="0" borderId="0" xfId="0" applyNumberFormat="1" applyFont="1" applyFill="1" applyBorder="1"/>
    <xf numFmtId="0" fontId="3" fillId="2" borderId="19" xfId="0" applyNumberFormat="1" applyFont="1" applyFill="1" applyBorder="1"/>
    <xf numFmtId="0" fontId="0" fillId="2" borderId="21" xfId="0" applyFill="1" applyBorder="1"/>
    <xf numFmtId="0" fontId="0" fillId="2" borderId="20" xfId="0" applyFill="1" applyBorder="1"/>
    <xf numFmtId="0" fontId="16" fillId="0" borderId="0" xfId="2"/>
    <xf numFmtId="166" fontId="0" fillId="0" borderId="0" xfId="3" applyNumberFormat="1" applyFont="1"/>
    <xf numFmtId="166" fontId="0" fillId="0" borderId="0" xfId="3" applyNumberFormat="1" applyFont="1" applyBorder="1"/>
    <xf numFmtId="0" fontId="16" fillId="0" borderId="0" xfId="2" applyBorder="1"/>
    <xf numFmtId="0" fontId="17" fillId="5" borderId="22" xfId="2" applyFont="1" applyFill="1" applyBorder="1"/>
    <xf numFmtId="168" fontId="17" fillId="5" borderId="22" xfId="2" applyNumberFormat="1" applyFont="1" applyFill="1" applyBorder="1"/>
    <xf numFmtId="0" fontId="16" fillId="0" borderId="0" xfId="2" applyFill="1" applyBorder="1"/>
    <xf numFmtId="169" fontId="18" fillId="6" borderId="23" xfId="3" applyNumberFormat="1" applyFont="1" applyFill="1" applyBorder="1" applyAlignment="1"/>
    <xf numFmtId="169" fontId="18" fillId="6" borderId="0" xfId="3" applyNumberFormat="1" applyFont="1" applyFill="1" applyBorder="1" applyAlignment="1"/>
    <xf numFmtId="0" fontId="19" fillId="7" borderId="22" xfId="2" applyFont="1" applyFill="1" applyBorder="1" applyAlignment="1">
      <alignment horizontal="center" vertical="center"/>
    </xf>
    <xf numFmtId="167" fontId="19" fillId="7" borderId="22" xfId="2" applyNumberFormat="1" applyFont="1" applyFill="1" applyBorder="1" applyAlignment="1">
      <alignment horizontal="center" vertical="center"/>
    </xf>
    <xf numFmtId="166" fontId="19" fillId="7" borderId="22" xfId="3" applyNumberFormat="1" applyFont="1" applyFill="1" applyBorder="1" applyAlignment="1">
      <alignment horizontal="center" vertical="center" wrapText="1"/>
    </xf>
    <xf numFmtId="0" fontId="19" fillId="7" borderId="22" xfId="2" applyFont="1" applyFill="1" applyBorder="1" applyAlignment="1">
      <alignment horizontal="right"/>
    </xf>
    <xf numFmtId="166" fontId="19" fillId="7" borderId="22" xfId="3" applyNumberFormat="1" applyFont="1" applyFill="1" applyBorder="1" applyAlignment="1">
      <alignment horizontal="right"/>
    </xf>
    <xf numFmtId="166" fontId="19" fillId="7" borderId="22" xfId="3" applyNumberFormat="1" applyFont="1" applyFill="1" applyBorder="1" applyAlignment="1">
      <alignment horizontal="center" vertical="center"/>
    </xf>
    <xf numFmtId="0" fontId="18" fillId="0" borderId="22" xfId="2" applyFont="1" applyFill="1" applyBorder="1" applyAlignment="1"/>
    <xf numFmtId="168" fontId="18" fillId="0" borderId="22" xfId="3" applyNumberFormat="1" applyFont="1" applyFill="1" applyBorder="1" applyAlignment="1"/>
    <xf numFmtId="169" fontId="18" fillId="0" borderId="22" xfId="3" applyNumberFormat="1" applyFont="1" applyFill="1" applyBorder="1" applyAlignment="1"/>
    <xf numFmtId="168" fontId="18" fillId="0" borderId="22" xfId="2" applyNumberFormat="1" applyFont="1" applyFill="1" applyBorder="1" applyAlignment="1"/>
    <xf numFmtId="0" fontId="17" fillId="2" borderId="0" xfId="2" applyFont="1" applyFill="1" applyAlignment="1">
      <alignment horizontal="left" vertical="top"/>
    </xf>
    <xf numFmtId="0" fontId="20" fillId="2" borderId="0" xfId="2" applyFont="1" applyFill="1" applyAlignment="1">
      <alignment horizontal="left" vertical="top"/>
    </xf>
    <xf numFmtId="0" fontId="21" fillId="2" borderId="0" xfId="2" applyFont="1" applyFill="1" applyAlignment="1">
      <alignment horizontal="left" vertical="top"/>
    </xf>
    <xf numFmtId="0" fontId="17" fillId="2" borderId="1" xfId="2" applyFont="1" applyFill="1" applyBorder="1"/>
    <xf numFmtId="170" fontId="17" fillId="0" borderId="1" xfId="2" applyNumberFormat="1" applyFont="1" applyBorder="1"/>
    <xf numFmtId="170" fontId="17" fillId="0" borderId="1" xfId="4" applyNumberFormat="1" applyFont="1" applyBorder="1"/>
    <xf numFmtId="170" fontId="16" fillId="0" borderId="1" xfId="2" applyNumberFormat="1" applyBorder="1"/>
    <xf numFmtId="0" fontId="22" fillId="0" borderId="0" xfId="2" applyFont="1" applyFill="1"/>
    <xf numFmtId="0" fontId="16" fillId="0" borderId="0" xfId="2" applyFill="1"/>
    <xf numFmtId="0" fontId="23" fillId="0" borderId="0" xfId="2" applyFont="1" applyFill="1"/>
    <xf numFmtId="0" fontId="4" fillId="2" borderId="24" xfId="0" applyFont="1" applyFill="1" applyBorder="1" applyAlignment="1">
      <alignment horizontal="left" vertical="top" wrapText="1"/>
    </xf>
    <xf numFmtId="0" fontId="4" fillId="2" borderId="25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4" fillId="2" borderId="26" xfId="0" applyFont="1" applyFill="1" applyBorder="1" applyAlignment="1">
      <alignment horizontal="left" vertical="top" wrapText="1"/>
    </xf>
    <xf numFmtId="0" fontId="4" fillId="2" borderId="27" xfId="0" applyFont="1" applyFill="1" applyBorder="1" applyAlignment="1">
      <alignment horizontal="left" vertical="top" wrapText="1"/>
    </xf>
    <xf numFmtId="0" fontId="4" fillId="2" borderId="28" xfId="0" applyFont="1" applyFill="1" applyBorder="1" applyAlignment="1">
      <alignment horizontal="left" vertical="top" wrapText="1"/>
    </xf>
    <xf numFmtId="0" fontId="4" fillId="2" borderId="29" xfId="0" applyFont="1" applyFill="1" applyBorder="1" applyAlignment="1">
      <alignment horizontal="left" vertical="top" wrapText="1"/>
    </xf>
    <xf numFmtId="0" fontId="4" fillId="2" borderId="17" xfId="0" applyFont="1" applyFill="1" applyBorder="1"/>
    <xf numFmtId="0" fontId="4" fillId="2" borderId="14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171" fontId="0" fillId="0" borderId="0" xfId="0" applyNumberFormat="1"/>
    <xf numFmtId="0" fontId="0" fillId="0" borderId="1" xfId="0" applyBorder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3" fillId="3" borderId="0" xfId="0" applyFont="1" applyFill="1" applyBorder="1" applyAlignment="1">
      <alignment wrapText="1"/>
    </xf>
    <xf numFmtId="0" fontId="3" fillId="3" borderId="17" xfId="0" applyFont="1" applyFill="1" applyBorder="1" applyAlignment="1">
      <alignment wrapText="1"/>
    </xf>
    <xf numFmtId="0" fontId="0" fillId="8" borderId="0" xfId="0" applyFill="1"/>
    <xf numFmtId="0" fontId="24" fillId="0" borderId="0" xfId="0" applyFont="1"/>
    <xf numFmtId="2" fontId="24" fillId="0" borderId="0" xfId="0" applyNumberFormat="1" applyFont="1"/>
    <xf numFmtId="0" fontId="0" fillId="0" borderId="0" xfId="0" applyAlignment="1">
      <alignment wrapText="1"/>
    </xf>
    <xf numFmtId="0" fontId="1" fillId="0" borderId="0" xfId="2" applyFont="1"/>
    <xf numFmtId="0" fontId="19" fillId="3" borderId="30" xfId="2" applyFont="1" applyFill="1" applyBorder="1" applyAlignment="1">
      <alignment horizontal="center" vertical="center" wrapText="1"/>
    </xf>
    <xf numFmtId="0" fontId="19" fillId="3" borderId="31" xfId="2" applyFont="1" applyFill="1" applyBorder="1" applyAlignment="1">
      <alignment horizontal="center" vertical="center" wrapText="1"/>
    </xf>
    <xf numFmtId="0" fontId="17" fillId="2" borderId="0" xfId="2" applyFont="1" applyFill="1" applyAlignment="1">
      <alignment horizontal="left" vertical="top" wrapText="1"/>
    </xf>
    <xf numFmtId="0" fontId="1" fillId="0" borderId="1" xfId="2" applyFont="1" applyBorder="1"/>
    <xf numFmtId="0" fontId="0" fillId="0" borderId="0" xfId="0"/>
    <xf numFmtId="0" fontId="0" fillId="0" borderId="0" xfId="0" applyAlignment="1">
      <alignment horizontal="center"/>
    </xf>
    <xf numFmtId="170" fontId="25" fillId="0" borderId="32" xfId="2" applyNumberFormat="1" applyFont="1" applyFill="1" applyBorder="1"/>
    <xf numFmtId="1" fontId="16" fillId="0" borderId="1" xfId="2" applyNumberFormat="1" applyBorder="1"/>
    <xf numFmtId="0" fontId="0" fillId="9" borderId="0" xfId="0" applyFill="1"/>
    <xf numFmtId="9" fontId="0" fillId="0" borderId="0" xfId="0" applyNumberFormat="1"/>
  </cellXfs>
  <cellStyles count="8">
    <cellStyle name="Денежный 2" xfId="4"/>
    <cellStyle name="Денежный 2 2" xfId="7"/>
    <cellStyle name="Обычный" xfId="0" builtinId="0"/>
    <cellStyle name="Обычный 2" xfId="1"/>
    <cellStyle name="Обычный 3" xfId="2"/>
    <cellStyle name="Обычный 3 2" xfId="5"/>
    <cellStyle name="Финансовый 2" xfId="3"/>
    <cellStyle name="Финансовый 2 2" xfId="6"/>
  </cellStyles>
  <dxfs count="3"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auto="1"/>
      </font>
      <fill>
        <patternFill>
          <bgColor theme="1" tint="4.9989318521683403E-2"/>
        </patternFill>
      </fill>
    </dxf>
  </dxfs>
  <tableStyles count="0" defaultTableStyle="TableStyleMedium9" defaultPivotStyle="PivotStyleLight16"/>
  <colors>
    <mruColors>
      <color rgb="FF66FF99"/>
      <color rgb="FFFFFFCC"/>
      <color rgb="FFCCFFCC"/>
      <color rgb="FFECF1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'1_Решить уравнение'!$B$12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val>
            <c:numRef>
              <c:f>'1_Решить уравнение'!$B$13:$B$17</c:f>
              <c:numCache>
                <c:formatCode>0.00000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0.58578643762690463</c:v>
                </c:pt>
                <c:pt idx="3">
                  <c:v>0.26794919243112258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89770400"/>
        <c:axId val="-289771488"/>
      </c:lineChart>
      <c:catAx>
        <c:axId val="-289770400"/>
        <c:scaling>
          <c:orientation val="minMax"/>
        </c:scaling>
        <c:delete val="0"/>
        <c:axPos val="b"/>
        <c:majorTickMark val="out"/>
        <c:minorTickMark val="none"/>
        <c:tickLblPos val="nextTo"/>
        <c:crossAx val="-289771488"/>
        <c:crosses val="autoZero"/>
        <c:auto val="1"/>
        <c:lblAlgn val="ctr"/>
        <c:lblOffset val="100"/>
        <c:noMultiLvlLbl val="0"/>
      </c:catAx>
      <c:valAx>
        <c:axId val="-289771488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-28977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8</xdr:row>
      <xdr:rowOff>114300</xdr:rowOff>
    </xdr:from>
    <xdr:to>
      <xdr:col>14</xdr:col>
      <xdr:colOff>152400</xdr:colOff>
      <xdr:row>23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5</xdr:row>
          <xdr:rowOff>171450</xdr:rowOff>
        </xdr:from>
        <xdr:to>
          <xdr:col>2</xdr:col>
          <xdr:colOff>962025</xdr:colOff>
          <xdr:row>8</xdr:row>
          <xdr:rowOff>57150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28574</xdr:rowOff>
    </xdr:from>
    <xdr:to>
      <xdr:col>8</xdr:col>
      <xdr:colOff>0</xdr:colOff>
      <xdr:row>10</xdr:row>
      <xdr:rowOff>95249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0" y="28574"/>
          <a:ext cx="7486650" cy="1971675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 представленной ниже таблице имеются данные о большом количестве подержанных автомобилей. Клиент имеет некоторую сумму денег (красная ячейка 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D13) 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меньше 1000$ (введите в ячейку начальное значение 850), остальные деньги собирается брать в кредит . Для получения кредита необходимо иметь 25% стоимости машины. На какой из автомобилей ему дадут кредит? Напротив каждого автомобиля  требуется получить пометку </a:t>
          </a:r>
          <a:r>
            <a:rPr lang="ru-RU" sz="1200" b="1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Дадут/Не дадут.</a:t>
          </a:r>
          <a:endParaRPr lang="ru-RU" sz="1200" b="0" i="0" u="none" strike="noStrike" baseline="0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FF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Вычислить на сколько автомобилей дадут клиенту кредит при суммах 850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$, 950$, 1000 $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, 1200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$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Результаты ввети в соответствующие ячейки снизу.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Вычислить сумму при которой клиент сможет взять любой из б/у автомобилей данного автосалона.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Ввести результат в ячейку </a:t>
          </a:r>
          <a:r>
            <a:rPr lang="en-US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F14</a:t>
          </a:r>
          <a:r>
            <a:rPr lang="ru-RU" sz="1200" b="0" i="0" u="none" strike="noStrike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.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FF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38099</xdr:rowOff>
    </xdr:from>
    <xdr:to>
      <xdr:col>8</xdr:col>
      <xdr:colOff>781049</xdr:colOff>
      <xdr:row>9</xdr:row>
      <xdr:rowOff>161925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4" y="38099"/>
          <a:ext cx="8277225" cy="183832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Представленная ниже таблица должна помочь администрации института определить количество студентов заслуживших получать стипендию по результатам сессии. </a:t>
          </a:r>
        </a:p>
        <a:p>
          <a:pPr algn="l" rtl="0">
            <a:defRPr sz="1000"/>
          </a:pP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Общий балл - все баллы набранные студентами на экзаменах.</a:t>
          </a:r>
        </a:p>
        <a:p>
          <a:pPr algn="l" rtl="0">
            <a:defRPr sz="1000"/>
          </a:pP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Для начисления стипендии используйте следующие критерии: </a:t>
          </a: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менее 19-ти баллов - стипендию не плучает, от 19 до 23,5 баллов включительно обычная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 стипендия, более 23,5</a:t>
          </a: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 баллов  - повышенная стипендия. В столбце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 </a:t>
          </a:r>
          <a:r>
            <a:rPr lang="en-US" sz="1000" b="0" i="0" strike="noStrike" baseline="0">
              <a:solidFill>
                <a:sysClr val="windowText" lastClr="000000"/>
              </a:solidFill>
              <a:latin typeface="Arial Cyr"/>
            </a:rPr>
            <a:t>H 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выведите результаты в текстовом виде (да, нет, повышенная).</a:t>
          </a:r>
        </a:p>
        <a:p>
          <a:pPr algn="l" rtl="0">
            <a:defRPr sz="1000"/>
          </a:pPr>
          <a:endParaRPr lang="ru-RU" sz="1000" b="0" i="0" strike="noStrike" baseline="0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 столбце </a:t>
          </a:r>
          <a:r>
            <a:rPr lang="en-US" sz="1000" b="0" i="0" strike="noStrike" baseline="0">
              <a:solidFill>
                <a:sysClr val="windowText" lastClr="000000"/>
              </a:solidFill>
              <a:latin typeface="Arial Cyr"/>
            </a:rPr>
            <a:t>I 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вычислите стипендию студентов. Руководство института приняло решение, что обычная стипендия будет составлять 30% от МРОТ (минимального размера оплаты труда), повышенная 65% МРОТ.</a:t>
          </a:r>
        </a:p>
        <a:p>
          <a:pPr algn="l" rtl="0">
            <a:defRPr sz="1000"/>
          </a:pP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В 2012 г. по закону минимальный размер оплаты труда составляет 11300 руб.</a:t>
          </a: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  <a:p>
          <a:pPr algn="l" rtl="0">
            <a:defRPr sz="1000"/>
          </a:pPr>
          <a:endParaRPr lang="ru-RU" sz="1000" b="0" i="0" strike="noStrike">
            <a:solidFill>
              <a:srgbClr val="0000FF"/>
            </a:solidFill>
            <a:latin typeface="Arial Cyr"/>
          </a:endParaRPr>
        </a:p>
        <a:p>
          <a:pPr algn="l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Arial Cyr"/>
            </a:rPr>
            <a:t>Отредактируй</a:t>
          </a:r>
          <a:r>
            <a:rPr lang="ru-RU" sz="1000" b="0" i="0" strike="noStrike" baseline="0">
              <a:solidFill>
                <a:sysClr val="windowText" lastClr="000000"/>
              </a:solidFill>
              <a:latin typeface="Arial Cyr"/>
            </a:rPr>
            <a:t>те строку заголовков таблицы. Заголовки таблицы должны содержаться в одной строке. </a:t>
          </a:r>
          <a:endParaRPr lang="ru-RU" sz="1000" b="0" i="0" strike="noStrike">
            <a:solidFill>
              <a:sysClr val="windowText" lastClr="000000"/>
            </a:solidFill>
            <a:latin typeface="Arial Cyr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123825</xdr:rowOff>
    </xdr:from>
    <xdr:to>
      <xdr:col>9</xdr:col>
      <xdr:colOff>9525</xdr:colOff>
      <xdr:row>12</xdr:row>
      <xdr:rowOff>76200</xdr:rowOff>
    </xdr:to>
    <xdr:grpSp>
      <xdr:nvGrpSpPr>
        <xdr:cNvPr id="7169" name="Group 1"/>
        <xdr:cNvGrpSpPr>
          <a:grpSpLocks/>
        </xdr:cNvGrpSpPr>
      </xdr:nvGrpSpPr>
      <xdr:grpSpPr bwMode="auto">
        <a:xfrm>
          <a:off x="800100" y="838200"/>
          <a:ext cx="4695825" cy="1752600"/>
          <a:chOff x="1341" y="3114"/>
          <a:chExt cx="9013" cy="4140"/>
        </a:xfrm>
      </xdr:grpSpPr>
      <xdr:pic>
        <xdr:nvPicPr>
          <xdr:cNvPr id="7172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41" y="3114"/>
            <a:ext cx="2587" cy="4140"/>
          </a:xfrm>
          <a:prstGeom prst="rect">
            <a:avLst/>
          </a:prstGeom>
          <a:noFill/>
        </xdr:spPr>
      </xdr:pic>
      <xdr:pic>
        <xdr:nvPicPr>
          <xdr:cNvPr id="7171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581" y="3114"/>
            <a:ext cx="2600" cy="4140"/>
          </a:xfrm>
          <a:prstGeom prst="rect">
            <a:avLst/>
          </a:prstGeom>
          <a:noFill/>
        </xdr:spPr>
      </xdr:pic>
      <xdr:pic>
        <xdr:nvPicPr>
          <xdr:cNvPr id="7170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7821" y="3114"/>
            <a:ext cx="2533" cy="4140"/>
          </a:xfrm>
          <a:prstGeom prst="rect">
            <a:avLst/>
          </a:prstGeom>
          <a:noFill/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533400</xdr:colOff>
      <xdr:row>0</xdr:row>
      <xdr:rowOff>180975</xdr:rowOff>
    </xdr:from>
    <xdr:to>
      <xdr:col>26</xdr:col>
      <xdr:colOff>361950</xdr:colOff>
      <xdr:row>26</xdr:row>
      <xdr:rowOff>66675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/>
        <a:srcRect l="24520" t="16834" r="19656" b="27856"/>
        <a:stretch>
          <a:fillRect/>
        </a:stretch>
      </xdr:blipFill>
      <xdr:spPr bwMode="auto">
        <a:xfrm>
          <a:off x="9677400" y="180975"/>
          <a:ext cx="6534150" cy="483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workbookViewId="0">
      <selection activeCell="I7" sqref="I7"/>
    </sheetView>
  </sheetViews>
  <sheetFormatPr defaultRowHeight="15" x14ac:dyDescent="0.25"/>
  <cols>
    <col min="2" max="2" width="9.140625" customWidth="1"/>
    <col min="3" max="3" width="14.85546875" customWidth="1"/>
  </cols>
  <sheetData>
    <row r="1" spans="1:7" ht="18.75" x14ac:dyDescent="0.3">
      <c r="A1" s="1"/>
      <c r="C1" s="13"/>
    </row>
    <row r="2" spans="1:7" ht="15.75" x14ac:dyDescent="0.25">
      <c r="A2" s="14" t="s">
        <v>31</v>
      </c>
      <c r="B2" s="15"/>
      <c r="C2" s="15"/>
      <c r="D2" s="15"/>
      <c r="E2" s="15"/>
      <c r="F2" s="15"/>
      <c r="G2" s="16"/>
    </row>
    <row r="3" spans="1:7" ht="15.75" x14ac:dyDescent="0.25">
      <c r="A3" s="34"/>
      <c r="B3" s="36" t="s">
        <v>33</v>
      </c>
      <c r="C3" s="33"/>
      <c r="D3" s="33"/>
      <c r="E3" s="33"/>
      <c r="F3" s="33"/>
      <c r="G3" s="35"/>
    </row>
    <row r="4" spans="1:7" ht="15.75" x14ac:dyDescent="0.25">
      <c r="A4" s="37"/>
      <c r="B4" s="32" t="s">
        <v>32</v>
      </c>
      <c r="C4" s="33"/>
      <c r="D4" s="33"/>
      <c r="E4" s="33"/>
      <c r="F4" s="33"/>
      <c r="G4" s="35"/>
    </row>
    <row r="5" spans="1:7" ht="15.75" x14ac:dyDescent="0.25">
      <c r="A5" s="38"/>
      <c r="B5" s="39" t="s">
        <v>34</v>
      </c>
      <c r="C5" s="17"/>
      <c r="D5" s="17"/>
      <c r="E5" s="17"/>
      <c r="F5" s="17"/>
      <c r="G5" s="18"/>
    </row>
    <row r="12" spans="1:7" x14ac:dyDescent="0.25">
      <c r="A12" t="s">
        <v>273</v>
      </c>
      <c r="B12" t="s">
        <v>274</v>
      </c>
    </row>
    <row r="13" spans="1:7" x14ac:dyDescent="0.25">
      <c r="A13">
        <v>1</v>
      </c>
      <c r="B13" s="119">
        <f>SQRT(A13+8-6*SQRT(A13-1))-1</f>
        <v>2</v>
      </c>
    </row>
    <row r="14" spans="1:7" x14ac:dyDescent="0.25">
      <c r="A14">
        <v>2</v>
      </c>
      <c r="B14" s="119">
        <f t="shared" ref="B14" si="0">SQRT(A14+8-6*SQRT(A14-1))-1</f>
        <v>1</v>
      </c>
    </row>
    <row r="15" spans="1:7" x14ac:dyDescent="0.25">
      <c r="A15">
        <v>3</v>
      </c>
      <c r="B15" s="119">
        <f>SQRT(A15+8-6*SQRT(A15-1))-1</f>
        <v>0.58578643762690463</v>
      </c>
    </row>
    <row r="16" spans="1:7" x14ac:dyDescent="0.25">
      <c r="A16">
        <v>4</v>
      </c>
      <c r="B16" s="119">
        <f>SQRT(A16+8-6*SQRT(A16-1))-1</f>
        <v>0.26794919243112258</v>
      </c>
    </row>
    <row r="17" spans="1:3" x14ac:dyDescent="0.25">
      <c r="A17">
        <v>5</v>
      </c>
      <c r="B17" s="119">
        <f>SQRT(A17+8-6*SQRT(A17-1))-1</f>
        <v>0</v>
      </c>
    </row>
    <row r="20" spans="1:3" x14ac:dyDescent="0.25">
      <c r="A20" t="s">
        <v>273</v>
      </c>
      <c r="B20" t="s">
        <v>274</v>
      </c>
    </row>
    <row r="31" spans="1:3" x14ac:dyDescent="0.25">
      <c r="C31" s="2"/>
    </row>
    <row r="32" spans="1:3" x14ac:dyDescent="0.25">
      <c r="C32" s="2"/>
    </row>
    <row r="35" spans="3:3" x14ac:dyDescent="0.25">
      <c r="C35" s="2"/>
    </row>
    <row r="36" spans="3:3" x14ac:dyDescent="0.25">
      <c r="C36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</sheetData>
  <dataConsolidate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>
              <from>
                <xdr:col>0</xdr:col>
                <xdr:colOff>85725</xdr:colOff>
                <xdr:row>5</xdr:row>
                <xdr:rowOff>171450</xdr:rowOff>
              </from>
              <to>
                <xdr:col>2</xdr:col>
                <xdr:colOff>962025</xdr:colOff>
                <xdr:row>8</xdr:row>
                <xdr:rowOff>57150</xdr:rowOff>
              </to>
            </anchor>
          </objectPr>
        </oleObject>
      </mc:Choice>
      <mc:Fallback>
        <oleObject progId="Equation.3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tabSelected="1" workbookViewId="0">
      <selection activeCell="L46" sqref="L46"/>
    </sheetView>
  </sheetViews>
  <sheetFormatPr defaultRowHeight="15" x14ac:dyDescent="0.25"/>
  <cols>
    <col min="1" max="1" width="10.85546875" customWidth="1"/>
    <col min="2" max="2" width="10.42578125" customWidth="1"/>
    <col min="3" max="3" width="11.5703125" customWidth="1"/>
    <col min="5" max="5" width="10.140625" customWidth="1"/>
    <col min="6" max="6" width="10.85546875" bestFit="1" customWidth="1"/>
    <col min="7" max="7" width="10.85546875" customWidth="1"/>
    <col min="8" max="8" width="9.7109375" customWidth="1"/>
    <col min="9" max="9" width="10.42578125" customWidth="1"/>
    <col min="10" max="10" width="10.28515625" customWidth="1"/>
    <col min="11" max="11" width="16.28515625" bestFit="1" customWidth="1"/>
    <col min="12" max="12" width="9.5703125" bestFit="1" customWidth="1"/>
    <col min="13" max="13" width="10.42578125" bestFit="1" customWidth="1"/>
    <col min="14" max="14" width="10.28515625" bestFit="1" customWidth="1"/>
    <col min="15" max="16" width="16.28515625" bestFit="1" customWidth="1"/>
    <col min="17" max="17" width="9.28515625" bestFit="1" customWidth="1"/>
    <col min="18" max="18" width="11.5703125" bestFit="1" customWidth="1"/>
    <col min="19" max="19" width="10.28515625" bestFit="1" customWidth="1"/>
    <col min="20" max="20" width="17.85546875" bestFit="1" customWidth="1"/>
    <col min="21" max="21" width="11.5703125" bestFit="1" customWidth="1"/>
    <col min="23" max="23" width="10.42578125" customWidth="1"/>
    <col min="24" max="24" width="10.28515625" bestFit="1" customWidth="1"/>
  </cols>
  <sheetData>
    <row r="1" spans="1:24" ht="18.75" x14ac:dyDescent="0.3">
      <c r="A1" s="31"/>
    </row>
    <row r="2" spans="1:24" ht="15.75" x14ac:dyDescent="0.25">
      <c r="A2" s="14" t="s">
        <v>21</v>
      </c>
      <c r="B2" s="15"/>
      <c r="C2" s="15"/>
      <c r="D2" s="15"/>
      <c r="E2" s="15"/>
      <c r="F2" s="15"/>
      <c r="G2" s="15"/>
      <c r="H2" s="16"/>
    </row>
    <row r="3" spans="1:24" ht="15.75" x14ac:dyDescent="0.25">
      <c r="A3" s="65" t="s">
        <v>8</v>
      </c>
      <c r="B3" s="33"/>
      <c r="C3" s="33"/>
      <c r="D3" s="33"/>
      <c r="E3" s="33"/>
      <c r="F3" s="33"/>
      <c r="G3" s="33"/>
      <c r="H3" s="35"/>
    </row>
    <row r="4" spans="1:24" ht="15.75" x14ac:dyDescent="0.25">
      <c r="A4" s="66" t="s">
        <v>30</v>
      </c>
      <c r="B4" s="17"/>
      <c r="C4" s="17"/>
      <c r="D4" s="17"/>
      <c r="E4" s="17"/>
      <c r="F4" s="17"/>
      <c r="G4" s="17"/>
      <c r="H4" s="18"/>
    </row>
    <row r="5" spans="1:24" ht="16.5" thickBot="1" x14ac:dyDescent="0.3">
      <c r="A5" s="63"/>
      <c r="B5" s="64"/>
      <c r="C5" s="64"/>
      <c r="D5" s="64"/>
      <c r="E5" s="64"/>
      <c r="F5" s="64"/>
      <c r="G5" s="64"/>
      <c r="H5" s="64"/>
    </row>
    <row r="6" spans="1:24" s="4" customFormat="1" x14ac:dyDescent="0.25">
      <c r="A6" s="123" t="s">
        <v>7</v>
      </c>
      <c r="B6" s="124"/>
      <c r="C6" s="125"/>
      <c r="F6" s="123" t="s">
        <v>9</v>
      </c>
      <c r="G6" s="124"/>
      <c r="H6" s="125"/>
      <c r="K6" s="123" t="s">
        <v>10</v>
      </c>
      <c r="L6" s="124"/>
      <c r="M6" s="125"/>
    </row>
    <row r="7" spans="1:24" s="4" customFormat="1" x14ac:dyDescent="0.25">
      <c r="A7" s="5" t="s">
        <v>11</v>
      </c>
      <c r="B7" s="6" t="s">
        <v>12</v>
      </c>
      <c r="C7" s="7" t="s">
        <v>13</v>
      </c>
      <c r="F7" s="5" t="s">
        <v>11</v>
      </c>
      <c r="G7" s="6" t="s">
        <v>12</v>
      </c>
      <c r="H7" s="7" t="s">
        <v>13</v>
      </c>
      <c r="K7" s="5" t="s">
        <v>11</v>
      </c>
      <c r="L7" s="6" t="s">
        <v>12</v>
      </c>
      <c r="M7" s="7" t="s">
        <v>13</v>
      </c>
    </row>
    <row r="8" spans="1:24" s="4" customFormat="1" ht="15.75" thickBot="1" x14ac:dyDescent="0.3">
      <c r="A8" s="8">
        <v>3</v>
      </c>
      <c r="B8" s="9">
        <v>5</v>
      </c>
      <c r="C8" s="10">
        <v>4</v>
      </c>
      <c r="F8" s="8">
        <v>3</v>
      </c>
      <c r="G8" s="9">
        <v>6.5</v>
      </c>
      <c r="H8" s="10">
        <v>4.5</v>
      </c>
      <c r="K8" s="8">
        <v>3</v>
      </c>
      <c r="L8" s="9">
        <v>4</v>
      </c>
      <c r="M8" s="10">
        <v>3.8</v>
      </c>
    </row>
    <row r="9" spans="1:24" s="4" customFormat="1" x14ac:dyDescent="0.25">
      <c r="A9" s="11"/>
      <c r="B9" s="11"/>
      <c r="C9" s="11"/>
      <c r="D9" s="12"/>
      <c r="E9" s="11"/>
      <c r="F9" s="11"/>
      <c r="G9" s="11"/>
      <c r="H9" s="12"/>
      <c r="I9" s="11"/>
      <c r="J9" s="11"/>
      <c r="K9" s="11"/>
    </row>
    <row r="10" spans="1:24" ht="15.75" x14ac:dyDescent="0.25">
      <c r="A10" s="68" t="s">
        <v>22</v>
      </c>
      <c r="B10" s="69"/>
      <c r="C10" s="69"/>
      <c r="D10" s="69"/>
      <c r="E10" s="69"/>
      <c r="F10" s="69"/>
      <c r="G10" s="69"/>
      <c r="H10" s="70"/>
    </row>
    <row r="11" spans="1:24" ht="15.75" x14ac:dyDescent="0.25">
      <c r="A11" s="67"/>
      <c r="B11" s="64"/>
      <c r="C11" s="64"/>
      <c r="D11" s="64"/>
      <c r="E11" s="64"/>
      <c r="F11" s="64"/>
      <c r="G11" s="64"/>
      <c r="H11" s="64"/>
    </row>
    <row r="12" spans="1:24" ht="15.75" x14ac:dyDescent="0.25">
      <c r="A12" s="126" t="s">
        <v>14</v>
      </c>
      <c r="B12" s="126"/>
      <c r="C12" s="126"/>
      <c r="D12" s="126"/>
    </row>
    <row r="13" spans="1:24" ht="32.25" thickBot="1" x14ac:dyDescent="0.3">
      <c r="A13" s="19"/>
      <c r="B13" s="19" t="s">
        <v>2</v>
      </c>
      <c r="C13" s="20" t="s">
        <v>16</v>
      </c>
      <c r="D13" s="19" t="s">
        <v>3</v>
      </c>
      <c r="F13" s="132" t="s">
        <v>277</v>
      </c>
      <c r="G13" s="131" t="s">
        <v>280</v>
      </c>
    </row>
    <row r="14" spans="1:24" ht="15.75" x14ac:dyDescent="0.25">
      <c r="A14" s="121" t="s">
        <v>15</v>
      </c>
      <c r="B14" s="122"/>
      <c r="C14" s="21"/>
      <c r="D14" s="22"/>
    </row>
    <row r="15" spans="1:24" ht="15.75" x14ac:dyDescent="0.25">
      <c r="A15" s="23">
        <v>1</v>
      </c>
      <c r="B15" s="24">
        <v>0.52</v>
      </c>
      <c r="C15" s="24">
        <v>10.050000000000001</v>
      </c>
      <c r="D15" s="25">
        <v>570</v>
      </c>
      <c r="F15">
        <f>SUM(B15*C15)</f>
        <v>5.2260000000000009</v>
      </c>
      <c r="G15">
        <f>SUM(F15*0.9)</f>
        <v>4.7034000000000011</v>
      </c>
      <c r="K15" s="129" t="s">
        <v>7</v>
      </c>
      <c r="L15" s="129"/>
      <c r="M15" s="129"/>
      <c r="N15" s="129"/>
      <c r="O15" s="133"/>
      <c r="P15" s="129" t="s">
        <v>9</v>
      </c>
      <c r="Q15" s="129"/>
      <c r="R15" s="129"/>
      <c r="S15" s="129"/>
      <c r="T15" s="133"/>
      <c r="U15" s="129" t="s">
        <v>10</v>
      </c>
      <c r="V15" s="129"/>
      <c r="W15" s="129"/>
      <c r="X15" s="129"/>
    </row>
    <row r="16" spans="1:24" ht="45" customHeight="1" x14ac:dyDescent="0.25">
      <c r="A16" s="23">
        <v>2</v>
      </c>
      <c r="B16" s="24">
        <v>0.68</v>
      </c>
      <c r="C16" s="24">
        <v>8.23</v>
      </c>
      <c r="D16" s="25">
        <v>780</v>
      </c>
      <c r="F16">
        <f>SUM(B16*C16)</f>
        <v>5.5964000000000009</v>
      </c>
      <c r="G16">
        <f t="shared" ref="G16:G35" si="0">SUM(F16*0.9)</f>
        <v>5.036760000000001</v>
      </c>
      <c r="K16" t="s">
        <v>275</v>
      </c>
      <c r="L16" s="136" t="s">
        <v>278</v>
      </c>
      <c r="M16" s="136" t="s">
        <v>298</v>
      </c>
      <c r="N16" s="136" t="s">
        <v>299</v>
      </c>
      <c r="O16" s="133"/>
      <c r="P16" t="s">
        <v>276</v>
      </c>
      <c r="Q16" s="136" t="s">
        <v>279</v>
      </c>
      <c r="R16" s="136" t="s">
        <v>298</v>
      </c>
      <c r="S16" s="136" t="s">
        <v>299</v>
      </c>
      <c r="T16" s="133"/>
      <c r="U16" t="s">
        <v>276</v>
      </c>
      <c r="V16" s="136" t="s">
        <v>278</v>
      </c>
      <c r="W16" s="136" t="s">
        <v>298</v>
      </c>
      <c r="X16" s="136" t="s">
        <v>299</v>
      </c>
    </row>
    <row r="17" spans="1:24" ht="16.5" thickBot="1" x14ac:dyDescent="0.3">
      <c r="A17" s="127" t="s">
        <v>17</v>
      </c>
      <c r="B17" s="128"/>
      <c r="C17" s="26"/>
      <c r="D17" s="27"/>
      <c r="K17">
        <f>SUM(A8*B8*C8)</f>
        <v>60</v>
      </c>
      <c r="L17" s="130">
        <f>SUM(K17*0.85)</f>
        <v>51</v>
      </c>
      <c r="O17" s="133"/>
      <c r="P17">
        <f>SUM(F8*G8*H8)</f>
        <v>87.75</v>
      </c>
      <c r="Q17">
        <f>SUM(P17*0.85)</f>
        <v>74.587499999999991</v>
      </c>
      <c r="T17" s="133"/>
      <c r="U17">
        <f>SUM(K8*L8*M8)</f>
        <v>45.599999999999994</v>
      </c>
      <c r="V17">
        <f>SUM(U17*0.85)</f>
        <v>38.759999999999991</v>
      </c>
    </row>
    <row r="18" spans="1:24" ht="15.75" x14ac:dyDescent="0.25">
      <c r="A18" s="28">
        <v>1</v>
      </c>
      <c r="B18" s="29">
        <v>0.52</v>
      </c>
      <c r="C18" s="29">
        <v>10.050000000000001</v>
      </c>
      <c r="D18" s="22">
        <v>1700</v>
      </c>
      <c r="F18">
        <f>SUM(B18*C18)</f>
        <v>5.2260000000000009</v>
      </c>
      <c r="G18">
        <f t="shared" si="0"/>
        <v>4.7034000000000011</v>
      </c>
      <c r="K18" t="s">
        <v>281</v>
      </c>
      <c r="L18" s="130">
        <f>SUM(L17/F15)</f>
        <v>9.7588978185993103</v>
      </c>
      <c r="M18">
        <f>CEILING(L18, 1)</f>
        <v>10</v>
      </c>
      <c r="N18" s="142">
        <f>SUM(M18*D15)</f>
        <v>5700</v>
      </c>
      <c r="O18" s="133"/>
      <c r="P18" t="s">
        <v>281</v>
      </c>
      <c r="Q18" s="130">
        <f>SUM($Q$17/$F15)</f>
        <v>14.272388059701489</v>
      </c>
      <c r="R18">
        <f>CEILING(Q18, 1)</f>
        <v>15</v>
      </c>
      <c r="S18">
        <f>SUM(R18*D15)</f>
        <v>8550</v>
      </c>
      <c r="T18" s="133"/>
      <c r="U18" t="s">
        <v>281</v>
      </c>
      <c r="V18" s="130">
        <f>SUM($V$17/$F15)</f>
        <v>7.4167623421354731</v>
      </c>
      <c r="W18">
        <f>CEILING(V18, 1)</f>
        <v>8</v>
      </c>
      <c r="X18">
        <f>SUM(W18*D15)</f>
        <v>4560</v>
      </c>
    </row>
    <row r="19" spans="1:24" ht="16.5" thickBot="1" x14ac:dyDescent="0.3">
      <c r="A19" s="23">
        <v>2</v>
      </c>
      <c r="B19" s="24">
        <v>0.7</v>
      </c>
      <c r="C19" s="24">
        <v>10</v>
      </c>
      <c r="D19" s="25">
        <v>2300</v>
      </c>
      <c r="F19">
        <f t="shared" ref="F19:F21" si="1">SUM(B19*C19)</f>
        <v>7</v>
      </c>
      <c r="G19">
        <f t="shared" si="0"/>
        <v>6.3</v>
      </c>
      <c r="K19" t="s">
        <v>282</v>
      </c>
      <c r="L19" s="130">
        <f>SUM($L$17/F16)</f>
        <v>9.1130012150668271</v>
      </c>
      <c r="M19">
        <f t="shared" ref="M19:M34" si="2">CEILING(L19, 1)</f>
        <v>10</v>
      </c>
      <c r="N19" s="142">
        <f t="shared" ref="N19:N34" si="3">SUM(M19*D16)</f>
        <v>7800</v>
      </c>
      <c r="O19" s="133"/>
      <c r="P19" t="s">
        <v>282</v>
      </c>
      <c r="Q19" s="130">
        <f>SUM($Q$17/$F16)</f>
        <v>13.327764277035234</v>
      </c>
      <c r="R19">
        <f t="shared" ref="R19:R34" si="4">CEILING(Q19, 1)</f>
        <v>14</v>
      </c>
      <c r="S19">
        <f t="shared" ref="S19:S34" si="5">SUM(R19*D16)</f>
        <v>10920</v>
      </c>
      <c r="T19" s="133"/>
      <c r="U19" t="s">
        <v>282</v>
      </c>
      <c r="V19" s="130">
        <f>SUM($V$17/$F16)</f>
        <v>6.9258809234507872</v>
      </c>
      <c r="W19">
        <f t="shared" ref="W19:W34" si="6">CEILING(V19, 1)</f>
        <v>7</v>
      </c>
      <c r="X19">
        <f>SUM(W19*D16)</f>
        <v>5460</v>
      </c>
    </row>
    <row r="20" spans="1:24" ht="15.75" x14ac:dyDescent="0.25">
      <c r="A20" s="28">
        <v>3</v>
      </c>
      <c r="B20" s="24">
        <v>1.4</v>
      </c>
      <c r="C20" s="24">
        <v>50</v>
      </c>
      <c r="D20" s="25">
        <v>4800</v>
      </c>
      <c r="F20">
        <f t="shared" si="1"/>
        <v>70</v>
      </c>
      <c r="G20">
        <f t="shared" si="0"/>
        <v>63</v>
      </c>
      <c r="K20" t="s">
        <v>283</v>
      </c>
      <c r="L20" s="130">
        <f>SUM($L$17/F18)</f>
        <v>9.7588978185993103</v>
      </c>
      <c r="M20">
        <f t="shared" si="2"/>
        <v>10</v>
      </c>
      <c r="N20" s="142">
        <f>SUM(M20*D18)</f>
        <v>17000</v>
      </c>
      <c r="O20" s="133"/>
      <c r="P20" t="s">
        <v>283</v>
      </c>
      <c r="Q20" s="130">
        <f>SUM($Q$17/$F18)</f>
        <v>14.272388059701489</v>
      </c>
      <c r="R20">
        <f t="shared" si="4"/>
        <v>15</v>
      </c>
      <c r="S20">
        <f>SUM(R20*D18)</f>
        <v>25500</v>
      </c>
      <c r="T20" s="133"/>
      <c r="U20" t="s">
        <v>283</v>
      </c>
      <c r="V20" s="130">
        <f>SUM($V$17/$F18)</f>
        <v>7.4167623421354731</v>
      </c>
      <c r="W20">
        <f t="shared" si="6"/>
        <v>8</v>
      </c>
      <c r="X20">
        <f>SUM(W20*D18)</f>
        <v>13600</v>
      </c>
    </row>
    <row r="21" spans="1:24" ht="16.5" thickBot="1" x14ac:dyDescent="0.3">
      <c r="A21" s="23">
        <v>4</v>
      </c>
      <c r="B21" s="26">
        <v>1.05</v>
      </c>
      <c r="C21" s="26">
        <v>25</v>
      </c>
      <c r="D21" s="27">
        <v>2350</v>
      </c>
      <c r="F21">
        <f t="shared" si="1"/>
        <v>26.25</v>
      </c>
      <c r="G21">
        <f t="shared" si="0"/>
        <v>23.625</v>
      </c>
      <c r="K21" t="s">
        <v>284</v>
      </c>
      <c r="L21" s="130">
        <f>SUM($L$17/F19)</f>
        <v>7.2857142857142856</v>
      </c>
      <c r="M21">
        <f t="shared" si="2"/>
        <v>8</v>
      </c>
      <c r="N21" s="142">
        <f t="shared" ref="N21:N23" si="7">SUM(M21*D19)</f>
        <v>18400</v>
      </c>
      <c r="P21" t="s">
        <v>284</v>
      </c>
      <c r="Q21" s="130">
        <f>SUM($Q$17/$F19)</f>
        <v>10.655357142857142</v>
      </c>
      <c r="R21">
        <f t="shared" si="4"/>
        <v>11</v>
      </c>
      <c r="S21">
        <f t="shared" ref="S21:S23" si="8">SUM(R21*D19)</f>
        <v>25300</v>
      </c>
      <c r="U21" t="s">
        <v>284</v>
      </c>
      <c r="V21" s="130">
        <f>SUM($V$17/$F19)</f>
        <v>5.5371428571428556</v>
      </c>
      <c r="W21">
        <f t="shared" si="6"/>
        <v>6</v>
      </c>
      <c r="X21">
        <f t="shared" ref="X21:X34" si="9">SUM(W21*D19)</f>
        <v>13800</v>
      </c>
    </row>
    <row r="22" spans="1:24" ht="15.75" x14ac:dyDescent="0.25">
      <c r="A22" s="121" t="s">
        <v>18</v>
      </c>
      <c r="B22" s="122"/>
      <c r="C22" s="29"/>
      <c r="D22" s="22"/>
      <c r="K22" t="s">
        <v>285</v>
      </c>
      <c r="L22" s="130">
        <f>SUM($L$17/F20)</f>
        <v>0.72857142857142854</v>
      </c>
      <c r="M22">
        <f t="shared" si="2"/>
        <v>1</v>
      </c>
      <c r="N22" s="142">
        <f t="shared" si="7"/>
        <v>4800</v>
      </c>
      <c r="P22" t="s">
        <v>285</v>
      </c>
      <c r="Q22" s="130">
        <f>SUM($Q$17/$F20)</f>
        <v>1.0655357142857143</v>
      </c>
      <c r="R22">
        <f t="shared" si="4"/>
        <v>2</v>
      </c>
      <c r="S22">
        <f t="shared" si="8"/>
        <v>9600</v>
      </c>
      <c r="U22" t="s">
        <v>285</v>
      </c>
      <c r="V22" s="130">
        <f>SUM($V$17/$F20)</f>
        <v>0.5537142857142856</v>
      </c>
      <c r="W22">
        <f t="shared" si="6"/>
        <v>1</v>
      </c>
      <c r="X22">
        <f t="shared" si="9"/>
        <v>4800</v>
      </c>
    </row>
    <row r="23" spans="1:24" ht="15.75" x14ac:dyDescent="0.25">
      <c r="A23" s="23">
        <v>1</v>
      </c>
      <c r="B23" s="24">
        <v>0.68</v>
      </c>
      <c r="C23" s="24">
        <v>10.050000000000001</v>
      </c>
      <c r="D23" s="25">
        <v>1540</v>
      </c>
      <c r="F23">
        <f>SUM(B23*C23)</f>
        <v>6.8340000000000014</v>
      </c>
      <c r="G23">
        <f>SUM(F23*0.9)</f>
        <v>6.1506000000000016</v>
      </c>
      <c r="K23" t="s">
        <v>286</v>
      </c>
      <c r="L23" s="130">
        <f>SUM($L$17/F21)</f>
        <v>1.9428571428571428</v>
      </c>
      <c r="M23">
        <f t="shared" si="2"/>
        <v>2</v>
      </c>
      <c r="N23" s="142">
        <f t="shared" si="7"/>
        <v>4700</v>
      </c>
      <c r="P23" t="s">
        <v>286</v>
      </c>
      <c r="Q23" s="130">
        <f>SUM($Q$17/$F21)</f>
        <v>2.8414285714285712</v>
      </c>
      <c r="R23">
        <f t="shared" si="4"/>
        <v>3</v>
      </c>
      <c r="S23">
        <f t="shared" si="8"/>
        <v>7050</v>
      </c>
      <c r="U23" t="s">
        <v>286</v>
      </c>
      <c r="V23" s="130">
        <f>SUM($V$17/$F21)</f>
        <v>1.4765714285714282</v>
      </c>
      <c r="W23">
        <f t="shared" si="6"/>
        <v>2</v>
      </c>
      <c r="X23">
        <f t="shared" si="9"/>
        <v>4700</v>
      </c>
    </row>
    <row r="24" spans="1:24" ht="15.75" x14ac:dyDescent="0.25">
      <c r="A24" s="23">
        <v>2</v>
      </c>
      <c r="B24" s="24">
        <v>0.52</v>
      </c>
      <c r="C24" s="24">
        <v>10.050000000000001</v>
      </c>
      <c r="D24" s="25">
        <v>1530</v>
      </c>
      <c r="F24">
        <f t="shared" ref="F24:F26" si="10">SUM(B24*C24)</f>
        <v>5.2260000000000009</v>
      </c>
      <c r="G24">
        <f t="shared" si="0"/>
        <v>4.7034000000000011</v>
      </c>
      <c r="K24" t="s">
        <v>287</v>
      </c>
      <c r="L24" s="130">
        <f>SUM($L$17/F23)</f>
        <v>7.4626865671641776</v>
      </c>
      <c r="M24">
        <f t="shared" si="2"/>
        <v>8</v>
      </c>
      <c r="N24" s="142">
        <f>SUM(M24*D23)</f>
        <v>12320</v>
      </c>
      <c r="P24" t="s">
        <v>287</v>
      </c>
      <c r="Q24" s="130">
        <f>SUM($Q$17/$F23)</f>
        <v>10.914179104477608</v>
      </c>
      <c r="R24">
        <f t="shared" si="4"/>
        <v>11</v>
      </c>
      <c r="S24">
        <f>SUM(R24*D23)</f>
        <v>16940</v>
      </c>
      <c r="U24" t="s">
        <v>287</v>
      </c>
      <c r="V24" s="130">
        <f>SUM($V$17/$F23)</f>
        <v>5.6716417910447738</v>
      </c>
      <c r="W24">
        <f t="shared" si="6"/>
        <v>6</v>
      </c>
      <c r="X24">
        <f>SUM(W24*D23)</f>
        <v>9240</v>
      </c>
    </row>
    <row r="25" spans="1:24" ht="15.75" x14ac:dyDescent="0.25">
      <c r="A25" s="23">
        <v>3</v>
      </c>
      <c r="B25" s="24">
        <v>0.7</v>
      </c>
      <c r="C25" s="24">
        <v>10</v>
      </c>
      <c r="D25" s="25">
        <v>1567</v>
      </c>
      <c r="F25">
        <f t="shared" si="10"/>
        <v>7</v>
      </c>
      <c r="G25">
        <f>SUM(F25*0.9)</f>
        <v>6.3</v>
      </c>
      <c r="K25" t="s">
        <v>288</v>
      </c>
      <c r="L25" s="130">
        <f t="shared" ref="L25:L26" si="11">SUM($L$17/F24)</f>
        <v>9.7588978185993103</v>
      </c>
      <c r="M25">
        <f t="shared" si="2"/>
        <v>10</v>
      </c>
      <c r="N25" s="142">
        <f t="shared" ref="N25:N27" si="12">SUM(M25*D24)</f>
        <v>15300</v>
      </c>
      <c r="P25" t="s">
        <v>288</v>
      </c>
      <c r="Q25" s="130">
        <f>SUM($Q$17/$F24)</f>
        <v>14.272388059701489</v>
      </c>
      <c r="R25">
        <f t="shared" si="4"/>
        <v>15</v>
      </c>
      <c r="S25">
        <f t="shared" ref="S25:S27" si="13">SUM(R25*D24)</f>
        <v>22950</v>
      </c>
      <c r="U25" t="s">
        <v>288</v>
      </c>
      <c r="V25" s="130">
        <f>SUM($V$17/$F24)</f>
        <v>7.4167623421354731</v>
      </c>
      <c r="W25">
        <f t="shared" si="6"/>
        <v>8</v>
      </c>
      <c r="X25">
        <f t="shared" ref="X25:X34" si="14">SUM(W25*D24)</f>
        <v>12240</v>
      </c>
    </row>
    <row r="26" spans="1:24" ht="16.5" thickBot="1" x14ac:dyDescent="0.3">
      <c r="A26" s="23">
        <v>4</v>
      </c>
      <c r="B26" s="26">
        <v>0.7</v>
      </c>
      <c r="C26" s="26">
        <v>8.1999999999999993</v>
      </c>
      <c r="D26" s="27">
        <v>1873</v>
      </c>
      <c r="F26">
        <f t="shared" si="10"/>
        <v>5.7399999999999993</v>
      </c>
      <c r="G26">
        <f t="shared" si="0"/>
        <v>5.1659999999999995</v>
      </c>
      <c r="K26" t="s">
        <v>289</v>
      </c>
      <c r="L26" s="130">
        <f t="shared" si="11"/>
        <v>7.2857142857142856</v>
      </c>
      <c r="M26">
        <f t="shared" si="2"/>
        <v>8</v>
      </c>
      <c r="N26" s="142">
        <f t="shared" si="12"/>
        <v>12536</v>
      </c>
      <c r="P26" t="s">
        <v>289</v>
      </c>
      <c r="Q26" s="130">
        <f>SUM($Q$17/$F25)</f>
        <v>10.655357142857142</v>
      </c>
      <c r="R26">
        <f t="shared" si="4"/>
        <v>11</v>
      </c>
      <c r="S26">
        <f t="shared" si="13"/>
        <v>17237</v>
      </c>
      <c r="U26" t="s">
        <v>289</v>
      </c>
      <c r="V26" s="130">
        <f>SUM($V$17/$F25)</f>
        <v>5.5371428571428556</v>
      </c>
      <c r="W26">
        <f t="shared" si="6"/>
        <v>6</v>
      </c>
      <c r="X26">
        <f t="shared" si="14"/>
        <v>9402</v>
      </c>
    </row>
    <row r="27" spans="1:24" ht="15.75" x14ac:dyDescent="0.25">
      <c r="A27" s="121" t="s">
        <v>19</v>
      </c>
      <c r="B27" s="122"/>
      <c r="C27" s="29"/>
      <c r="D27" s="22"/>
      <c r="K27" t="s">
        <v>290</v>
      </c>
      <c r="L27" s="130">
        <f>SUM($L$17/F26)</f>
        <v>8.8850174216027877</v>
      </c>
      <c r="M27">
        <f t="shared" si="2"/>
        <v>9</v>
      </c>
      <c r="N27" s="142">
        <f t="shared" si="12"/>
        <v>16857</v>
      </c>
      <c r="P27" t="s">
        <v>290</v>
      </c>
      <c r="Q27" s="130">
        <f>SUM($Q$17/$F26)</f>
        <v>12.994337979094077</v>
      </c>
      <c r="R27">
        <f t="shared" si="4"/>
        <v>13</v>
      </c>
      <c r="S27">
        <f t="shared" si="13"/>
        <v>24349</v>
      </c>
      <c r="U27" t="s">
        <v>290</v>
      </c>
      <c r="V27" s="130">
        <f>SUM($V$17/$F26)</f>
        <v>6.7526132404181176</v>
      </c>
      <c r="W27">
        <f t="shared" si="6"/>
        <v>7</v>
      </c>
      <c r="X27">
        <f t="shared" si="14"/>
        <v>13111</v>
      </c>
    </row>
    <row r="28" spans="1:24" ht="15.75" x14ac:dyDescent="0.25">
      <c r="A28" s="23">
        <v>1</v>
      </c>
      <c r="B28" s="24">
        <v>0.53</v>
      </c>
      <c r="C28" s="24">
        <v>10.050000000000001</v>
      </c>
      <c r="D28" s="25">
        <v>880</v>
      </c>
      <c r="F28">
        <f>SUM(B28*C28)</f>
        <v>5.3265000000000002</v>
      </c>
      <c r="G28">
        <f t="shared" si="0"/>
        <v>4.7938499999999999</v>
      </c>
      <c r="K28" t="s">
        <v>291</v>
      </c>
      <c r="L28" s="130">
        <f>SUM($L$17/F28)</f>
        <v>9.5747676710785683</v>
      </c>
      <c r="M28">
        <f t="shared" si="2"/>
        <v>10</v>
      </c>
      <c r="N28" s="142">
        <f>SUM(M28*D28)</f>
        <v>8800</v>
      </c>
      <c r="P28" t="s">
        <v>291</v>
      </c>
      <c r="Q28" s="130">
        <f>SUM($Q$17/$F28)</f>
        <v>14.003097718952406</v>
      </c>
      <c r="R28">
        <f t="shared" si="4"/>
        <v>15</v>
      </c>
      <c r="S28">
        <f>SUM(R28*D28)</f>
        <v>13200</v>
      </c>
      <c r="U28" t="s">
        <v>291</v>
      </c>
      <c r="V28" s="130">
        <f>SUM($V$17/$F28)</f>
        <v>7.2768234300197108</v>
      </c>
      <c r="W28">
        <f t="shared" si="6"/>
        <v>8</v>
      </c>
      <c r="X28">
        <f>SUM(W28*D28)</f>
        <v>7040</v>
      </c>
    </row>
    <row r="29" spans="1:24" ht="15.75" x14ac:dyDescent="0.25">
      <c r="A29" s="23">
        <v>2</v>
      </c>
      <c r="B29" s="24">
        <v>0.9</v>
      </c>
      <c r="C29" s="24">
        <v>20</v>
      </c>
      <c r="D29" s="25">
        <v>1530</v>
      </c>
      <c r="F29">
        <f t="shared" ref="F29:F30" si="15">SUM(B29*C29)</f>
        <v>18</v>
      </c>
      <c r="G29">
        <f t="shared" si="0"/>
        <v>16.2</v>
      </c>
      <c r="K29" t="s">
        <v>292</v>
      </c>
      <c r="L29" s="130">
        <f t="shared" ref="L29" si="16">SUM($L$17/F29)</f>
        <v>2.8333333333333335</v>
      </c>
      <c r="M29">
        <f t="shared" si="2"/>
        <v>3</v>
      </c>
      <c r="N29" s="142">
        <f t="shared" ref="N29:N34" si="17">SUM(M29*D29)</f>
        <v>4590</v>
      </c>
      <c r="P29" t="s">
        <v>292</v>
      </c>
      <c r="Q29" s="130">
        <f>SUM($Q$17/$F29)</f>
        <v>4.1437499999999998</v>
      </c>
      <c r="R29">
        <f t="shared" si="4"/>
        <v>5</v>
      </c>
      <c r="S29">
        <f t="shared" ref="S29:S34" si="18">SUM(R29*D29)</f>
        <v>7650</v>
      </c>
      <c r="U29" t="s">
        <v>292</v>
      </c>
      <c r="V29" s="130">
        <f>SUM($V$17/$F29)</f>
        <v>2.1533333333333329</v>
      </c>
      <c r="W29">
        <f t="shared" si="6"/>
        <v>3</v>
      </c>
      <c r="X29">
        <f t="shared" ref="X29:X34" si="19">SUM(W29*D29)</f>
        <v>4590</v>
      </c>
    </row>
    <row r="30" spans="1:24" ht="16.5" thickBot="1" x14ac:dyDescent="0.3">
      <c r="A30" s="30">
        <v>3</v>
      </c>
      <c r="B30" s="26">
        <v>1.06</v>
      </c>
      <c r="C30" s="26">
        <v>10.050000000000001</v>
      </c>
      <c r="D30" s="27">
        <v>1020</v>
      </c>
      <c r="F30">
        <f t="shared" si="15"/>
        <v>10.653</v>
      </c>
      <c r="G30">
        <f t="shared" si="0"/>
        <v>9.5876999999999999</v>
      </c>
      <c r="K30" t="s">
        <v>293</v>
      </c>
      <c r="L30" s="130">
        <f>SUM($L$17/F30)</f>
        <v>4.7873838355392841</v>
      </c>
      <c r="M30">
        <f t="shared" si="2"/>
        <v>5</v>
      </c>
      <c r="N30" s="142">
        <f t="shared" si="17"/>
        <v>5100</v>
      </c>
      <c r="P30" t="s">
        <v>293</v>
      </c>
      <c r="Q30" s="130">
        <f>SUM($Q$17/$F30)</f>
        <v>7.0015488594762028</v>
      </c>
      <c r="R30">
        <f t="shared" si="4"/>
        <v>8</v>
      </c>
      <c r="S30">
        <f t="shared" si="18"/>
        <v>8160</v>
      </c>
      <c r="U30" t="s">
        <v>293</v>
      </c>
      <c r="V30" s="130">
        <f>SUM($V$17/$F30)</f>
        <v>3.6384117150098554</v>
      </c>
      <c r="W30">
        <f t="shared" si="6"/>
        <v>4</v>
      </c>
      <c r="X30">
        <f t="shared" si="19"/>
        <v>4080</v>
      </c>
    </row>
    <row r="31" spans="1:24" ht="15.75" x14ac:dyDescent="0.25">
      <c r="A31" s="121" t="s">
        <v>20</v>
      </c>
      <c r="B31" s="122"/>
      <c r="C31" s="29"/>
      <c r="D31" s="22"/>
      <c r="K31" t="s">
        <v>294</v>
      </c>
      <c r="L31" s="130">
        <f>SUM($L$17/F32)</f>
        <v>9.5747676710785683</v>
      </c>
      <c r="M31">
        <f t="shared" si="2"/>
        <v>10</v>
      </c>
      <c r="N31" s="142">
        <f>SUM(M31*D32)</f>
        <v>34700</v>
      </c>
      <c r="P31" t="s">
        <v>294</v>
      </c>
      <c r="Q31" s="130">
        <f>SUM($Q$17/$F32)</f>
        <v>14.003097718952406</v>
      </c>
      <c r="R31">
        <f t="shared" si="4"/>
        <v>15</v>
      </c>
      <c r="S31">
        <f>SUM(R31*D32)</f>
        <v>52050</v>
      </c>
      <c r="U31" t="s">
        <v>294</v>
      </c>
      <c r="V31" s="130">
        <f>SUM($V$17/$F32)</f>
        <v>7.2768234300197108</v>
      </c>
      <c r="W31">
        <f t="shared" si="6"/>
        <v>8</v>
      </c>
      <c r="X31">
        <f>SUM(W31*D32)</f>
        <v>27760</v>
      </c>
    </row>
    <row r="32" spans="1:24" ht="15.75" x14ac:dyDescent="0.25">
      <c r="A32" s="23">
        <v>1</v>
      </c>
      <c r="B32" s="24">
        <v>0.53</v>
      </c>
      <c r="C32" s="24">
        <v>10.050000000000001</v>
      </c>
      <c r="D32" s="25">
        <v>3470</v>
      </c>
      <c r="F32">
        <f>SUM(B32*C32)</f>
        <v>5.3265000000000002</v>
      </c>
      <c r="G32">
        <f t="shared" si="0"/>
        <v>4.7938499999999999</v>
      </c>
      <c r="K32" t="s">
        <v>295</v>
      </c>
      <c r="L32" s="130">
        <f t="shared" ref="L32:L34" si="20">SUM($L$17/F33)</f>
        <v>9.1130012150668271</v>
      </c>
      <c r="M32">
        <f t="shared" si="2"/>
        <v>10</v>
      </c>
      <c r="N32" s="142">
        <f t="shared" ref="N32:N34" si="21">SUM(M32*D33)</f>
        <v>71000</v>
      </c>
      <c r="P32" t="s">
        <v>295</v>
      </c>
      <c r="Q32" s="130">
        <f>SUM($Q$17/$F33)</f>
        <v>13.327764277035234</v>
      </c>
      <c r="R32">
        <f t="shared" si="4"/>
        <v>14</v>
      </c>
      <c r="S32">
        <f t="shared" ref="S32:S34" si="22">SUM(R32*D33)</f>
        <v>99400</v>
      </c>
      <c r="U32" t="s">
        <v>295</v>
      </c>
      <c r="V32" s="130">
        <f>SUM($V$17/$F33)</f>
        <v>6.9258809234507872</v>
      </c>
      <c r="W32">
        <f t="shared" si="6"/>
        <v>7</v>
      </c>
      <c r="X32">
        <f t="shared" ref="X32:X34" si="23">SUM(W32*D33)</f>
        <v>49700</v>
      </c>
    </row>
    <row r="33" spans="1:24" ht="15.75" x14ac:dyDescent="0.25">
      <c r="A33" s="23">
        <v>2</v>
      </c>
      <c r="B33" s="24">
        <v>0.68</v>
      </c>
      <c r="C33" s="24">
        <v>8.23</v>
      </c>
      <c r="D33" s="25">
        <v>7100</v>
      </c>
      <c r="F33">
        <f t="shared" ref="F33:F35" si="24">SUM(B33*C33)</f>
        <v>5.5964000000000009</v>
      </c>
      <c r="G33">
        <f t="shared" si="0"/>
        <v>5.036760000000001</v>
      </c>
      <c r="K33" t="s">
        <v>296</v>
      </c>
      <c r="L33" s="130">
        <f t="shared" si="20"/>
        <v>2.5499999999999998</v>
      </c>
      <c r="M33">
        <f t="shared" si="2"/>
        <v>3</v>
      </c>
      <c r="N33" s="142">
        <f t="shared" si="21"/>
        <v>17880</v>
      </c>
      <c r="P33" t="s">
        <v>296</v>
      </c>
      <c r="Q33" s="130">
        <f>SUM($Q$17/$F34)</f>
        <v>3.7293749999999997</v>
      </c>
      <c r="R33">
        <f t="shared" si="4"/>
        <v>4</v>
      </c>
      <c r="S33">
        <f t="shared" si="22"/>
        <v>23840</v>
      </c>
      <c r="U33" t="s">
        <v>296</v>
      </c>
      <c r="V33" s="130">
        <f>SUM($V$17/$F34)</f>
        <v>1.9379999999999995</v>
      </c>
      <c r="W33">
        <f t="shared" si="6"/>
        <v>2</v>
      </c>
      <c r="X33">
        <f t="shared" si="23"/>
        <v>11920</v>
      </c>
    </row>
    <row r="34" spans="1:24" ht="15.75" x14ac:dyDescent="0.25">
      <c r="A34" s="23">
        <v>3</v>
      </c>
      <c r="B34" s="24">
        <v>1</v>
      </c>
      <c r="C34" s="24">
        <v>20</v>
      </c>
      <c r="D34" s="25">
        <v>5960</v>
      </c>
      <c r="F34">
        <f t="shared" si="24"/>
        <v>20</v>
      </c>
      <c r="G34">
        <f t="shared" si="0"/>
        <v>18</v>
      </c>
      <c r="K34" t="s">
        <v>297</v>
      </c>
      <c r="L34" s="130">
        <f t="shared" si="20"/>
        <v>4.4127190136275152</v>
      </c>
      <c r="M34">
        <f t="shared" si="2"/>
        <v>5</v>
      </c>
      <c r="N34" s="142">
        <f t="shared" si="21"/>
        <v>21350</v>
      </c>
      <c r="P34" t="s">
        <v>297</v>
      </c>
      <c r="Q34" s="130">
        <f>SUM($Q$17/$F35)</f>
        <v>6.4536015574302397</v>
      </c>
      <c r="R34">
        <f t="shared" si="4"/>
        <v>7</v>
      </c>
      <c r="S34">
        <f t="shared" si="22"/>
        <v>29890</v>
      </c>
      <c r="U34" t="s">
        <v>297</v>
      </c>
      <c r="V34" s="130">
        <f>SUM($V$17/$F35)</f>
        <v>3.3536664503569105</v>
      </c>
      <c r="W34">
        <f t="shared" si="6"/>
        <v>4</v>
      </c>
      <c r="X34">
        <f t="shared" si="23"/>
        <v>17080</v>
      </c>
    </row>
    <row r="35" spans="1:24" ht="16.5" thickBot="1" x14ac:dyDescent="0.3">
      <c r="A35" s="30">
        <v>4</v>
      </c>
      <c r="B35" s="26">
        <v>1.1499999999999999</v>
      </c>
      <c r="C35" s="26">
        <v>10.050000000000001</v>
      </c>
      <c r="D35" s="27">
        <v>4270</v>
      </c>
      <c r="F35">
        <f t="shared" si="24"/>
        <v>11.557499999999999</v>
      </c>
      <c r="G35">
        <f t="shared" si="0"/>
        <v>10.40175</v>
      </c>
    </row>
    <row r="37" spans="1:24" ht="15.75" x14ac:dyDescent="0.25">
      <c r="A37" s="60" t="s">
        <v>27</v>
      </c>
      <c r="B37" s="15"/>
      <c r="C37" s="15"/>
      <c r="D37" s="15"/>
      <c r="E37" s="15"/>
      <c r="F37" s="15"/>
      <c r="G37" s="15"/>
      <c r="H37" s="16"/>
    </row>
    <row r="38" spans="1:24" ht="15.75" x14ac:dyDescent="0.25">
      <c r="A38" s="61"/>
      <c r="B38" s="36" t="s">
        <v>25</v>
      </c>
      <c r="C38" s="33"/>
      <c r="D38" s="33"/>
      <c r="E38" s="33"/>
      <c r="F38" s="33"/>
      <c r="G38" s="33"/>
      <c r="H38" s="35"/>
      <c r="L38" s="134">
        <f>CEILING(3.99, 1)</f>
        <v>4</v>
      </c>
    </row>
    <row r="39" spans="1:24" ht="15.75" x14ac:dyDescent="0.25">
      <c r="A39" s="61"/>
      <c r="B39" s="36" t="s">
        <v>26</v>
      </c>
      <c r="C39" s="33"/>
      <c r="D39" s="33"/>
      <c r="E39" s="33"/>
      <c r="F39" s="33"/>
      <c r="G39" s="33"/>
      <c r="H39" s="35"/>
      <c r="K39" s="130"/>
      <c r="L39" s="135"/>
    </row>
    <row r="40" spans="1:24" ht="12.75" customHeight="1" x14ac:dyDescent="0.25">
      <c r="A40" s="61"/>
      <c r="B40" s="36" t="s">
        <v>23</v>
      </c>
      <c r="C40" s="33"/>
      <c r="D40" s="33"/>
      <c r="E40" s="33"/>
      <c r="F40" s="33"/>
      <c r="G40" s="33"/>
      <c r="H40" s="35"/>
    </row>
    <row r="41" spans="1:24" ht="14.25" customHeight="1" x14ac:dyDescent="0.25">
      <c r="A41" s="61" t="s">
        <v>28</v>
      </c>
      <c r="B41" s="33"/>
      <c r="C41" s="33"/>
      <c r="D41" s="33"/>
      <c r="E41" s="33"/>
      <c r="F41" s="33"/>
      <c r="G41" s="33"/>
      <c r="H41" s="35"/>
    </row>
    <row r="42" spans="1:24" ht="14.25" customHeight="1" x14ac:dyDescent="0.25">
      <c r="A42" s="61" t="s">
        <v>24</v>
      </c>
      <c r="B42" s="33"/>
      <c r="C42" s="33"/>
      <c r="D42" s="33"/>
      <c r="E42" s="33"/>
      <c r="F42" s="33"/>
      <c r="G42" s="33"/>
      <c r="H42" s="35"/>
    </row>
    <row r="43" spans="1:24" ht="14.25" customHeight="1" x14ac:dyDescent="0.25">
      <c r="A43" s="62" t="s">
        <v>29</v>
      </c>
      <c r="B43" s="17"/>
      <c r="C43" s="17"/>
      <c r="D43" s="17"/>
      <c r="E43" s="17"/>
      <c r="F43" s="17"/>
      <c r="G43" s="17"/>
      <c r="H43" s="18"/>
    </row>
    <row r="44" spans="1:24" ht="14.25" customHeight="1" x14ac:dyDescent="0.25">
      <c r="A44" s="3"/>
    </row>
    <row r="45" spans="1:24" ht="14.25" customHeight="1" x14ac:dyDescent="0.25">
      <c r="A45" s="3"/>
    </row>
    <row r="78" spans="1:1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</v>
      </c>
      <c r="G78" t="s">
        <v>2</v>
      </c>
      <c r="H78" t="s">
        <v>6</v>
      </c>
      <c r="I78" t="s">
        <v>4</v>
      </c>
      <c r="J78" t="s">
        <v>1</v>
      </c>
      <c r="K78" t="s">
        <v>2</v>
      </c>
      <c r="M78" t="s">
        <v>5</v>
      </c>
      <c r="N78" t="s">
        <v>1</v>
      </c>
      <c r="O78" t="s">
        <v>2</v>
      </c>
    </row>
  </sheetData>
  <mergeCells count="12">
    <mergeCell ref="K15:N15"/>
    <mergeCell ref="P15:S15"/>
    <mergeCell ref="U15:X15"/>
    <mergeCell ref="A27:B27"/>
    <mergeCell ref="A31:B31"/>
    <mergeCell ref="A6:C6"/>
    <mergeCell ref="F6:H6"/>
    <mergeCell ref="K6:M6"/>
    <mergeCell ref="A12:D12"/>
    <mergeCell ref="A17:B17"/>
    <mergeCell ref="A14:B14"/>
    <mergeCell ref="A22:B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I1" sqref="I1"/>
    </sheetView>
  </sheetViews>
  <sheetFormatPr defaultRowHeight="15" x14ac:dyDescent="0.25"/>
  <cols>
    <col min="1" max="1" width="24.140625" customWidth="1"/>
  </cols>
  <sheetData>
    <row r="1" spans="1:8" ht="19.5" x14ac:dyDescent="0.35">
      <c r="A1" s="56" t="s">
        <v>87</v>
      </c>
      <c r="B1" s="15"/>
      <c r="C1" s="15"/>
      <c r="D1" s="15"/>
      <c r="E1" s="15"/>
      <c r="F1" s="15"/>
      <c r="G1" s="15"/>
      <c r="H1" s="16"/>
    </row>
    <row r="2" spans="1:8" ht="19.5" x14ac:dyDescent="0.35">
      <c r="A2" s="57" t="s">
        <v>89</v>
      </c>
      <c r="B2" s="33"/>
      <c r="C2" s="33"/>
      <c r="D2" s="33"/>
      <c r="E2" s="33"/>
      <c r="F2" s="33"/>
      <c r="G2" s="33"/>
      <c r="H2" s="35"/>
    </row>
    <row r="3" spans="1:8" ht="19.5" x14ac:dyDescent="0.35">
      <c r="A3" s="57" t="s">
        <v>90</v>
      </c>
      <c r="B3" s="33"/>
      <c r="C3" s="33"/>
      <c r="D3" s="33"/>
      <c r="E3" s="33"/>
      <c r="F3" s="33"/>
      <c r="G3" s="33"/>
      <c r="H3" s="35"/>
    </row>
    <row r="4" spans="1:8" ht="19.5" x14ac:dyDescent="0.35">
      <c r="A4" s="58" t="s">
        <v>86</v>
      </c>
      <c r="B4" s="33"/>
      <c r="C4" s="33"/>
      <c r="D4" s="33"/>
      <c r="E4" s="33"/>
      <c r="F4" s="33"/>
      <c r="G4" s="33"/>
      <c r="H4" s="35"/>
    </row>
    <row r="5" spans="1:8" ht="21.75" x14ac:dyDescent="0.3">
      <c r="A5" s="59" t="s">
        <v>88</v>
      </c>
      <c r="B5" s="17"/>
      <c r="C5" s="17"/>
      <c r="D5" s="17"/>
      <c r="E5" s="17"/>
      <c r="F5" s="17"/>
      <c r="G5" s="17"/>
      <c r="H5" s="18"/>
    </row>
    <row r="6" spans="1:8" ht="15.75" x14ac:dyDescent="0.25">
      <c r="A6" s="44"/>
    </row>
    <row r="8" spans="1:8" ht="15.75" x14ac:dyDescent="0.25">
      <c r="A8" s="44"/>
    </row>
    <row r="9" spans="1:8" ht="15.75" x14ac:dyDescent="0.25">
      <c r="A9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K16" sqref="K16"/>
    </sheetView>
  </sheetViews>
  <sheetFormatPr defaultRowHeight="12.75" x14ac:dyDescent="0.2"/>
  <cols>
    <col min="1" max="1" width="9.7109375" style="40" customWidth="1"/>
    <col min="2" max="2" width="15" style="40" customWidth="1"/>
    <col min="3" max="3" width="16.85546875" style="40" customWidth="1"/>
    <col min="4" max="4" width="30" style="40" customWidth="1"/>
    <col min="5" max="5" width="36.140625" style="40" customWidth="1"/>
    <col min="6" max="6" width="17.28515625" style="40" customWidth="1"/>
    <col min="7" max="7" width="16.140625" style="40" customWidth="1"/>
    <col min="8" max="256" width="9.140625" style="40"/>
    <col min="257" max="257" width="9.7109375" style="40" customWidth="1"/>
    <col min="258" max="258" width="15" style="40" customWidth="1"/>
    <col min="259" max="259" width="16.85546875" style="40" customWidth="1"/>
    <col min="260" max="260" width="30" style="40" customWidth="1"/>
    <col min="261" max="261" width="36.140625" style="40" customWidth="1"/>
    <col min="262" max="262" width="17.28515625" style="40" customWidth="1"/>
    <col min="263" max="263" width="16.140625" style="40" customWidth="1"/>
    <col min="264" max="512" width="9.140625" style="40"/>
    <col min="513" max="513" width="9.7109375" style="40" customWidth="1"/>
    <col min="514" max="514" width="15" style="40" customWidth="1"/>
    <col min="515" max="515" width="16.85546875" style="40" customWidth="1"/>
    <col min="516" max="516" width="30" style="40" customWidth="1"/>
    <col min="517" max="517" width="36.140625" style="40" customWidth="1"/>
    <col min="518" max="518" width="17.28515625" style="40" customWidth="1"/>
    <col min="519" max="519" width="16.140625" style="40" customWidth="1"/>
    <col min="520" max="768" width="9.140625" style="40"/>
    <col min="769" max="769" width="9.7109375" style="40" customWidth="1"/>
    <col min="770" max="770" width="15" style="40" customWidth="1"/>
    <col min="771" max="771" width="16.85546875" style="40" customWidth="1"/>
    <col min="772" max="772" width="30" style="40" customWidth="1"/>
    <col min="773" max="773" width="36.140625" style="40" customWidth="1"/>
    <col min="774" max="774" width="17.28515625" style="40" customWidth="1"/>
    <col min="775" max="775" width="16.140625" style="40" customWidth="1"/>
    <col min="776" max="1024" width="9.140625" style="40"/>
    <col min="1025" max="1025" width="9.7109375" style="40" customWidth="1"/>
    <col min="1026" max="1026" width="15" style="40" customWidth="1"/>
    <col min="1027" max="1027" width="16.85546875" style="40" customWidth="1"/>
    <col min="1028" max="1028" width="30" style="40" customWidth="1"/>
    <col min="1029" max="1029" width="36.140625" style="40" customWidth="1"/>
    <col min="1030" max="1030" width="17.28515625" style="40" customWidth="1"/>
    <col min="1031" max="1031" width="16.140625" style="40" customWidth="1"/>
    <col min="1032" max="1280" width="9.140625" style="40"/>
    <col min="1281" max="1281" width="9.7109375" style="40" customWidth="1"/>
    <col min="1282" max="1282" width="15" style="40" customWidth="1"/>
    <col min="1283" max="1283" width="16.85546875" style="40" customWidth="1"/>
    <col min="1284" max="1284" width="30" style="40" customWidth="1"/>
    <col min="1285" max="1285" width="36.140625" style="40" customWidth="1"/>
    <col min="1286" max="1286" width="17.28515625" style="40" customWidth="1"/>
    <col min="1287" max="1287" width="16.140625" style="40" customWidth="1"/>
    <col min="1288" max="1536" width="9.140625" style="40"/>
    <col min="1537" max="1537" width="9.7109375" style="40" customWidth="1"/>
    <col min="1538" max="1538" width="15" style="40" customWidth="1"/>
    <col min="1539" max="1539" width="16.85546875" style="40" customWidth="1"/>
    <col min="1540" max="1540" width="30" style="40" customWidth="1"/>
    <col min="1541" max="1541" width="36.140625" style="40" customWidth="1"/>
    <col min="1542" max="1542" width="17.28515625" style="40" customWidth="1"/>
    <col min="1543" max="1543" width="16.140625" style="40" customWidth="1"/>
    <col min="1544" max="1792" width="9.140625" style="40"/>
    <col min="1793" max="1793" width="9.7109375" style="40" customWidth="1"/>
    <col min="1794" max="1794" width="15" style="40" customWidth="1"/>
    <col min="1795" max="1795" width="16.85546875" style="40" customWidth="1"/>
    <col min="1796" max="1796" width="30" style="40" customWidth="1"/>
    <col min="1797" max="1797" width="36.140625" style="40" customWidth="1"/>
    <col min="1798" max="1798" width="17.28515625" style="40" customWidth="1"/>
    <col min="1799" max="1799" width="16.140625" style="40" customWidth="1"/>
    <col min="1800" max="2048" width="9.140625" style="40"/>
    <col min="2049" max="2049" width="9.7109375" style="40" customWidth="1"/>
    <col min="2050" max="2050" width="15" style="40" customWidth="1"/>
    <col min="2051" max="2051" width="16.85546875" style="40" customWidth="1"/>
    <col min="2052" max="2052" width="30" style="40" customWidth="1"/>
    <col min="2053" max="2053" width="36.140625" style="40" customWidth="1"/>
    <col min="2054" max="2054" width="17.28515625" style="40" customWidth="1"/>
    <col min="2055" max="2055" width="16.140625" style="40" customWidth="1"/>
    <col min="2056" max="2304" width="9.140625" style="40"/>
    <col min="2305" max="2305" width="9.7109375" style="40" customWidth="1"/>
    <col min="2306" max="2306" width="15" style="40" customWidth="1"/>
    <col min="2307" max="2307" width="16.85546875" style="40" customWidth="1"/>
    <col min="2308" max="2308" width="30" style="40" customWidth="1"/>
    <col min="2309" max="2309" width="36.140625" style="40" customWidth="1"/>
    <col min="2310" max="2310" width="17.28515625" style="40" customWidth="1"/>
    <col min="2311" max="2311" width="16.140625" style="40" customWidth="1"/>
    <col min="2312" max="2560" width="9.140625" style="40"/>
    <col min="2561" max="2561" width="9.7109375" style="40" customWidth="1"/>
    <col min="2562" max="2562" width="15" style="40" customWidth="1"/>
    <col min="2563" max="2563" width="16.85546875" style="40" customWidth="1"/>
    <col min="2564" max="2564" width="30" style="40" customWidth="1"/>
    <col min="2565" max="2565" width="36.140625" style="40" customWidth="1"/>
    <col min="2566" max="2566" width="17.28515625" style="40" customWidth="1"/>
    <col min="2567" max="2567" width="16.140625" style="40" customWidth="1"/>
    <col min="2568" max="2816" width="9.140625" style="40"/>
    <col min="2817" max="2817" width="9.7109375" style="40" customWidth="1"/>
    <col min="2818" max="2818" width="15" style="40" customWidth="1"/>
    <col min="2819" max="2819" width="16.85546875" style="40" customWidth="1"/>
    <col min="2820" max="2820" width="30" style="40" customWidth="1"/>
    <col min="2821" max="2821" width="36.140625" style="40" customWidth="1"/>
    <col min="2822" max="2822" width="17.28515625" style="40" customWidth="1"/>
    <col min="2823" max="2823" width="16.140625" style="40" customWidth="1"/>
    <col min="2824" max="3072" width="9.140625" style="40"/>
    <col min="3073" max="3073" width="9.7109375" style="40" customWidth="1"/>
    <col min="3074" max="3074" width="15" style="40" customWidth="1"/>
    <col min="3075" max="3075" width="16.85546875" style="40" customWidth="1"/>
    <col min="3076" max="3076" width="30" style="40" customWidth="1"/>
    <col min="3077" max="3077" width="36.140625" style="40" customWidth="1"/>
    <col min="3078" max="3078" width="17.28515625" style="40" customWidth="1"/>
    <col min="3079" max="3079" width="16.140625" style="40" customWidth="1"/>
    <col min="3080" max="3328" width="9.140625" style="40"/>
    <col min="3329" max="3329" width="9.7109375" style="40" customWidth="1"/>
    <col min="3330" max="3330" width="15" style="40" customWidth="1"/>
    <col min="3331" max="3331" width="16.85546875" style="40" customWidth="1"/>
    <col min="3332" max="3332" width="30" style="40" customWidth="1"/>
    <col min="3333" max="3333" width="36.140625" style="40" customWidth="1"/>
    <col min="3334" max="3334" width="17.28515625" style="40" customWidth="1"/>
    <col min="3335" max="3335" width="16.140625" style="40" customWidth="1"/>
    <col min="3336" max="3584" width="9.140625" style="40"/>
    <col min="3585" max="3585" width="9.7109375" style="40" customWidth="1"/>
    <col min="3586" max="3586" width="15" style="40" customWidth="1"/>
    <col min="3587" max="3587" width="16.85546875" style="40" customWidth="1"/>
    <col min="3588" max="3588" width="30" style="40" customWidth="1"/>
    <col min="3589" max="3589" width="36.140625" style="40" customWidth="1"/>
    <col min="3590" max="3590" width="17.28515625" style="40" customWidth="1"/>
    <col min="3591" max="3591" width="16.140625" style="40" customWidth="1"/>
    <col min="3592" max="3840" width="9.140625" style="40"/>
    <col min="3841" max="3841" width="9.7109375" style="40" customWidth="1"/>
    <col min="3842" max="3842" width="15" style="40" customWidth="1"/>
    <col min="3843" max="3843" width="16.85546875" style="40" customWidth="1"/>
    <col min="3844" max="3844" width="30" style="40" customWidth="1"/>
    <col min="3845" max="3845" width="36.140625" style="40" customWidth="1"/>
    <col min="3846" max="3846" width="17.28515625" style="40" customWidth="1"/>
    <col min="3847" max="3847" width="16.140625" style="40" customWidth="1"/>
    <col min="3848" max="4096" width="9.140625" style="40"/>
    <col min="4097" max="4097" width="9.7109375" style="40" customWidth="1"/>
    <col min="4098" max="4098" width="15" style="40" customWidth="1"/>
    <col min="4099" max="4099" width="16.85546875" style="40" customWidth="1"/>
    <col min="4100" max="4100" width="30" style="40" customWidth="1"/>
    <col min="4101" max="4101" width="36.140625" style="40" customWidth="1"/>
    <col min="4102" max="4102" width="17.28515625" style="40" customWidth="1"/>
    <col min="4103" max="4103" width="16.140625" style="40" customWidth="1"/>
    <col min="4104" max="4352" width="9.140625" style="40"/>
    <col min="4353" max="4353" width="9.7109375" style="40" customWidth="1"/>
    <col min="4354" max="4354" width="15" style="40" customWidth="1"/>
    <col min="4355" max="4355" width="16.85546875" style="40" customWidth="1"/>
    <col min="4356" max="4356" width="30" style="40" customWidth="1"/>
    <col min="4357" max="4357" width="36.140625" style="40" customWidth="1"/>
    <col min="4358" max="4358" width="17.28515625" style="40" customWidth="1"/>
    <col min="4359" max="4359" width="16.140625" style="40" customWidth="1"/>
    <col min="4360" max="4608" width="9.140625" style="40"/>
    <col min="4609" max="4609" width="9.7109375" style="40" customWidth="1"/>
    <col min="4610" max="4610" width="15" style="40" customWidth="1"/>
    <col min="4611" max="4611" width="16.85546875" style="40" customWidth="1"/>
    <col min="4612" max="4612" width="30" style="40" customWidth="1"/>
    <col min="4613" max="4613" width="36.140625" style="40" customWidth="1"/>
    <col min="4614" max="4614" width="17.28515625" style="40" customWidth="1"/>
    <col min="4615" max="4615" width="16.140625" style="40" customWidth="1"/>
    <col min="4616" max="4864" width="9.140625" style="40"/>
    <col min="4865" max="4865" width="9.7109375" style="40" customWidth="1"/>
    <col min="4866" max="4866" width="15" style="40" customWidth="1"/>
    <col min="4867" max="4867" width="16.85546875" style="40" customWidth="1"/>
    <col min="4868" max="4868" width="30" style="40" customWidth="1"/>
    <col min="4869" max="4869" width="36.140625" style="40" customWidth="1"/>
    <col min="4870" max="4870" width="17.28515625" style="40" customWidth="1"/>
    <col min="4871" max="4871" width="16.140625" style="40" customWidth="1"/>
    <col min="4872" max="5120" width="9.140625" style="40"/>
    <col min="5121" max="5121" width="9.7109375" style="40" customWidth="1"/>
    <col min="5122" max="5122" width="15" style="40" customWidth="1"/>
    <col min="5123" max="5123" width="16.85546875" style="40" customWidth="1"/>
    <col min="5124" max="5124" width="30" style="40" customWidth="1"/>
    <col min="5125" max="5125" width="36.140625" style="40" customWidth="1"/>
    <col min="5126" max="5126" width="17.28515625" style="40" customWidth="1"/>
    <col min="5127" max="5127" width="16.140625" style="40" customWidth="1"/>
    <col min="5128" max="5376" width="9.140625" style="40"/>
    <col min="5377" max="5377" width="9.7109375" style="40" customWidth="1"/>
    <col min="5378" max="5378" width="15" style="40" customWidth="1"/>
    <col min="5379" max="5379" width="16.85546875" style="40" customWidth="1"/>
    <col min="5380" max="5380" width="30" style="40" customWidth="1"/>
    <col min="5381" max="5381" width="36.140625" style="40" customWidth="1"/>
    <col min="5382" max="5382" width="17.28515625" style="40" customWidth="1"/>
    <col min="5383" max="5383" width="16.140625" style="40" customWidth="1"/>
    <col min="5384" max="5632" width="9.140625" style="40"/>
    <col min="5633" max="5633" width="9.7109375" style="40" customWidth="1"/>
    <col min="5634" max="5634" width="15" style="40" customWidth="1"/>
    <col min="5635" max="5635" width="16.85546875" style="40" customWidth="1"/>
    <col min="5636" max="5636" width="30" style="40" customWidth="1"/>
    <col min="5637" max="5637" width="36.140625" style="40" customWidth="1"/>
    <col min="5638" max="5638" width="17.28515625" style="40" customWidth="1"/>
    <col min="5639" max="5639" width="16.140625" style="40" customWidth="1"/>
    <col min="5640" max="5888" width="9.140625" style="40"/>
    <col min="5889" max="5889" width="9.7109375" style="40" customWidth="1"/>
    <col min="5890" max="5890" width="15" style="40" customWidth="1"/>
    <col min="5891" max="5891" width="16.85546875" style="40" customWidth="1"/>
    <col min="5892" max="5892" width="30" style="40" customWidth="1"/>
    <col min="5893" max="5893" width="36.140625" style="40" customWidth="1"/>
    <col min="5894" max="5894" width="17.28515625" style="40" customWidth="1"/>
    <col min="5895" max="5895" width="16.140625" style="40" customWidth="1"/>
    <col min="5896" max="6144" width="9.140625" style="40"/>
    <col min="6145" max="6145" width="9.7109375" style="40" customWidth="1"/>
    <col min="6146" max="6146" width="15" style="40" customWidth="1"/>
    <col min="6147" max="6147" width="16.85546875" style="40" customWidth="1"/>
    <col min="6148" max="6148" width="30" style="40" customWidth="1"/>
    <col min="6149" max="6149" width="36.140625" style="40" customWidth="1"/>
    <col min="6150" max="6150" width="17.28515625" style="40" customWidth="1"/>
    <col min="6151" max="6151" width="16.140625" style="40" customWidth="1"/>
    <col min="6152" max="6400" width="9.140625" style="40"/>
    <col min="6401" max="6401" width="9.7109375" style="40" customWidth="1"/>
    <col min="6402" max="6402" width="15" style="40" customWidth="1"/>
    <col min="6403" max="6403" width="16.85546875" style="40" customWidth="1"/>
    <col min="6404" max="6404" width="30" style="40" customWidth="1"/>
    <col min="6405" max="6405" width="36.140625" style="40" customWidth="1"/>
    <col min="6406" max="6406" width="17.28515625" style="40" customWidth="1"/>
    <col min="6407" max="6407" width="16.140625" style="40" customWidth="1"/>
    <col min="6408" max="6656" width="9.140625" style="40"/>
    <col min="6657" max="6657" width="9.7109375" style="40" customWidth="1"/>
    <col min="6658" max="6658" width="15" style="40" customWidth="1"/>
    <col min="6659" max="6659" width="16.85546875" style="40" customWidth="1"/>
    <col min="6660" max="6660" width="30" style="40" customWidth="1"/>
    <col min="6661" max="6661" width="36.140625" style="40" customWidth="1"/>
    <col min="6662" max="6662" width="17.28515625" style="40" customWidth="1"/>
    <col min="6663" max="6663" width="16.140625" style="40" customWidth="1"/>
    <col min="6664" max="6912" width="9.140625" style="40"/>
    <col min="6913" max="6913" width="9.7109375" style="40" customWidth="1"/>
    <col min="6914" max="6914" width="15" style="40" customWidth="1"/>
    <col min="6915" max="6915" width="16.85546875" style="40" customWidth="1"/>
    <col min="6916" max="6916" width="30" style="40" customWidth="1"/>
    <col min="6917" max="6917" width="36.140625" style="40" customWidth="1"/>
    <col min="6918" max="6918" width="17.28515625" style="40" customWidth="1"/>
    <col min="6919" max="6919" width="16.140625" style="40" customWidth="1"/>
    <col min="6920" max="7168" width="9.140625" style="40"/>
    <col min="7169" max="7169" width="9.7109375" style="40" customWidth="1"/>
    <col min="7170" max="7170" width="15" style="40" customWidth="1"/>
    <col min="7171" max="7171" width="16.85546875" style="40" customWidth="1"/>
    <col min="7172" max="7172" width="30" style="40" customWidth="1"/>
    <col min="7173" max="7173" width="36.140625" style="40" customWidth="1"/>
    <col min="7174" max="7174" width="17.28515625" style="40" customWidth="1"/>
    <col min="7175" max="7175" width="16.140625" style="40" customWidth="1"/>
    <col min="7176" max="7424" width="9.140625" style="40"/>
    <col min="7425" max="7425" width="9.7109375" style="40" customWidth="1"/>
    <col min="7426" max="7426" width="15" style="40" customWidth="1"/>
    <col min="7427" max="7427" width="16.85546875" style="40" customWidth="1"/>
    <col min="7428" max="7428" width="30" style="40" customWidth="1"/>
    <col min="7429" max="7429" width="36.140625" style="40" customWidth="1"/>
    <col min="7430" max="7430" width="17.28515625" style="40" customWidth="1"/>
    <col min="7431" max="7431" width="16.140625" style="40" customWidth="1"/>
    <col min="7432" max="7680" width="9.140625" style="40"/>
    <col min="7681" max="7681" width="9.7109375" style="40" customWidth="1"/>
    <col min="7682" max="7682" width="15" style="40" customWidth="1"/>
    <col min="7683" max="7683" width="16.85546875" style="40" customWidth="1"/>
    <col min="7684" max="7684" width="30" style="40" customWidth="1"/>
    <col min="7685" max="7685" width="36.140625" style="40" customWidth="1"/>
    <col min="7686" max="7686" width="17.28515625" style="40" customWidth="1"/>
    <col min="7687" max="7687" width="16.140625" style="40" customWidth="1"/>
    <col min="7688" max="7936" width="9.140625" style="40"/>
    <col min="7937" max="7937" width="9.7109375" style="40" customWidth="1"/>
    <col min="7938" max="7938" width="15" style="40" customWidth="1"/>
    <col min="7939" max="7939" width="16.85546875" style="40" customWidth="1"/>
    <col min="7940" max="7940" width="30" style="40" customWidth="1"/>
    <col min="7941" max="7941" width="36.140625" style="40" customWidth="1"/>
    <col min="7942" max="7942" width="17.28515625" style="40" customWidth="1"/>
    <col min="7943" max="7943" width="16.140625" style="40" customWidth="1"/>
    <col min="7944" max="8192" width="9.140625" style="40"/>
    <col min="8193" max="8193" width="9.7109375" style="40" customWidth="1"/>
    <col min="8194" max="8194" width="15" style="40" customWidth="1"/>
    <col min="8195" max="8195" width="16.85546875" style="40" customWidth="1"/>
    <col min="8196" max="8196" width="30" style="40" customWidth="1"/>
    <col min="8197" max="8197" width="36.140625" style="40" customWidth="1"/>
    <col min="8198" max="8198" width="17.28515625" style="40" customWidth="1"/>
    <col min="8199" max="8199" width="16.140625" style="40" customWidth="1"/>
    <col min="8200" max="8448" width="9.140625" style="40"/>
    <col min="8449" max="8449" width="9.7109375" style="40" customWidth="1"/>
    <col min="8450" max="8450" width="15" style="40" customWidth="1"/>
    <col min="8451" max="8451" width="16.85546875" style="40" customWidth="1"/>
    <col min="8452" max="8452" width="30" style="40" customWidth="1"/>
    <col min="8453" max="8453" width="36.140625" style="40" customWidth="1"/>
    <col min="8454" max="8454" width="17.28515625" style="40" customWidth="1"/>
    <col min="8455" max="8455" width="16.140625" style="40" customWidth="1"/>
    <col min="8456" max="8704" width="9.140625" style="40"/>
    <col min="8705" max="8705" width="9.7109375" style="40" customWidth="1"/>
    <col min="8706" max="8706" width="15" style="40" customWidth="1"/>
    <col min="8707" max="8707" width="16.85546875" style="40" customWidth="1"/>
    <col min="8708" max="8708" width="30" style="40" customWidth="1"/>
    <col min="8709" max="8709" width="36.140625" style="40" customWidth="1"/>
    <col min="8710" max="8710" width="17.28515625" style="40" customWidth="1"/>
    <col min="8711" max="8711" width="16.140625" style="40" customWidth="1"/>
    <col min="8712" max="8960" width="9.140625" style="40"/>
    <col min="8961" max="8961" width="9.7109375" style="40" customWidth="1"/>
    <col min="8962" max="8962" width="15" style="40" customWidth="1"/>
    <col min="8963" max="8963" width="16.85546875" style="40" customWidth="1"/>
    <col min="8964" max="8964" width="30" style="40" customWidth="1"/>
    <col min="8965" max="8965" width="36.140625" style="40" customWidth="1"/>
    <col min="8966" max="8966" width="17.28515625" style="40" customWidth="1"/>
    <col min="8967" max="8967" width="16.140625" style="40" customWidth="1"/>
    <col min="8968" max="9216" width="9.140625" style="40"/>
    <col min="9217" max="9217" width="9.7109375" style="40" customWidth="1"/>
    <col min="9218" max="9218" width="15" style="40" customWidth="1"/>
    <col min="9219" max="9219" width="16.85546875" style="40" customWidth="1"/>
    <col min="9220" max="9220" width="30" style="40" customWidth="1"/>
    <col min="9221" max="9221" width="36.140625" style="40" customWidth="1"/>
    <col min="9222" max="9222" width="17.28515625" style="40" customWidth="1"/>
    <col min="9223" max="9223" width="16.140625" style="40" customWidth="1"/>
    <col min="9224" max="9472" width="9.140625" style="40"/>
    <col min="9473" max="9473" width="9.7109375" style="40" customWidth="1"/>
    <col min="9474" max="9474" width="15" style="40" customWidth="1"/>
    <col min="9475" max="9475" width="16.85546875" style="40" customWidth="1"/>
    <col min="9476" max="9476" width="30" style="40" customWidth="1"/>
    <col min="9477" max="9477" width="36.140625" style="40" customWidth="1"/>
    <col min="9478" max="9478" width="17.28515625" style="40" customWidth="1"/>
    <col min="9479" max="9479" width="16.140625" style="40" customWidth="1"/>
    <col min="9480" max="9728" width="9.140625" style="40"/>
    <col min="9729" max="9729" width="9.7109375" style="40" customWidth="1"/>
    <col min="9730" max="9730" width="15" style="40" customWidth="1"/>
    <col min="9731" max="9731" width="16.85546875" style="40" customWidth="1"/>
    <col min="9732" max="9732" width="30" style="40" customWidth="1"/>
    <col min="9733" max="9733" width="36.140625" style="40" customWidth="1"/>
    <col min="9734" max="9734" width="17.28515625" style="40" customWidth="1"/>
    <col min="9735" max="9735" width="16.140625" style="40" customWidth="1"/>
    <col min="9736" max="9984" width="9.140625" style="40"/>
    <col min="9985" max="9985" width="9.7109375" style="40" customWidth="1"/>
    <col min="9986" max="9986" width="15" style="40" customWidth="1"/>
    <col min="9987" max="9987" width="16.85546875" style="40" customWidth="1"/>
    <col min="9988" max="9988" width="30" style="40" customWidth="1"/>
    <col min="9989" max="9989" width="36.140625" style="40" customWidth="1"/>
    <col min="9990" max="9990" width="17.28515625" style="40" customWidth="1"/>
    <col min="9991" max="9991" width="16.140625" style="40" customWidth="1"/>
    <col min="9992" max="10240" width="9.140625" style="40"/>
    <col min="10241" max="10241" width="9.7109375" style="40" customWidth="1"/>
    <col min="10242" max="10242" width="15" style="40" customWidth="1"/>
    <col min="10243" max="10243" width="16.85546875" style="40" customWidth="1"/>
    <col min="10244" max="10244" width="30" style="40" customWidth="1"/>
    <col min="10245" max="10245" width="36.140625" style="40" customWidth="1"/>
    <col min="10246" max="10246" width="17.28515625" style="40" customWidth="1"/>
    <col min="10247" max="10247" width="16.140625" style="40" customWidth="1"/>
    <col min="10248" max="10496" width="9.140625" style="40"/>
    <col min="10497" max="10497" width="9.7109375" style="40" customWidth="1"/>
    <col min="10498" max="10498" width="15" style="40" customWidth="1"/>
    <col min="10499" max="10499" width="16.85546875" style="40" customWidth="1"/>
    <col min="10500" max="10500" width="30" style="40" customWidth="1"/>
    <col min="10501" max="10501" width="36.140625" style="40" customWidth="1"/>
    <col min="10502" max="10502" width="17.28515625" style="40" customWidth="1"/>
    <col min="10503" max="10503" width="16.140625" style="40" customWidth="1"/>
    <col min="10504" max="10752" width="9.140625" style="40"/>
    <col min="10753" max="10753" width="9.7109375" style="40" customWidth="1"/>
    <col min="10754" max="10754" width="15" style="40" customWidth="1"/>
    <col min="10755" max="10755" width="16.85546875" style="40" customWidth="1"/>
    <col min="10756" max="10756" width="30" style="40" customWidth="1"/>
    <col min="10757" max="10757" width="36.140625" style="40" customWidth="1"/>
    <col min="10758" max="10758" width="17.28515625" style="40" customWidth="1"/>
    <col min="10759" max="10759" width="16.140625" style="40" customWidth="1"/>
    <col min="10760" max="11008" width="9.140625" style="40"/>
    <col min="11009" max="11009" width="9.7109375" style="40" customWidth="1"/>
    <col min="11010" max="11010" width="15" style="40" customWidth="1"/>
    <col min="11011" max="11011" width="16.85546875" style="40" customWidth="1"/>
    <col min="11012" max="11012" width="30" style="40" customWidth="1"/>
    <col min="11013" max="11013" width="36.140625" style="40" customWidth="1"/>
    <col min="11014" max="11014" width="17.28515625" style="40" customWidth="1"/>
    <col min="11015" max="11015" width="16.140625" style="40" customWidth="1"/>
    <col min="11016" max="11264" width="9.140625" style="40"/>
    <col min="11265" max="11265" width="9.7109375" style="40" customWidth="1"/>
    <col min="11266" max="11266" width="15" style="40" customWidth="1"/>
    <col min="11267" max="11267" width="16.85546875" style="40" customWidth="1"/>
    <col min="11268" max="11268" width="30" style="40" customWidth="1"/>
    <col min="11269" max="11269" width="36.140625" style="40" customWidth="1"/>
    <col min="11270" max="11270" width="17.28515625" style="40" customWidth="1"/>
    <col min="11271" max="11271" width="16.140625" style="40" customWidth="1"/>
    <col min="11272" max="11520" width="9.140625" style="40"/>
    <col min="11521" max="11521" width="9.7109375" style="40" customWidth="1"/>
    <col min="11522" max="11522" width="15" style="40" customWidth="1"/>
    <col min="11523" max="11523" width="16.85546875" style="40" customWidth="1"/>
    <col min="11524" max="11524" width="30" style="40" customWidth="1"/>
    <col min="11525" max="11525" width="36.140625" style="40" customWidth="1"/>
    <col min="11526" max="11526" width="17.28515625" style="40" customWidth="1"/>
    <col min="11527" max="11527" width="16.140625" style="40" customWidth="1"/>
    <col min="11528" max="11776" width="9.140625" style="40"/>
    <col min="11777" max="11777" width="9.7109375" style="40" customWidth="1"/>
    <col min="11778" max="11778" width="15" style="40" customWidth="1"/>
    <col min="11779" max="11779" width="16.85546875" style="40" customWidth="1"/>
    <col min="11780" max="11780" width="30" style="40" customWidth="1"/>
    <col min="11781" max="11781" width="36.140625" style="40" customWidth="1"/>
    <col min="11782" max="11782" width="17.28515625" style="40" customWidth="1"/>
    <col min="11783" max="11783" width="16.140625" style="40" customWidth="1"/>
    <col min="11784" max="12032" width="9.140625" style="40"/>
    <col min="12033" max="12033" width="9.7109375" style="40" customWidth="1"/>
    <col min="12034" max="12034" width="15" style="40" customWidth="1"/>
    <col min="12035" max="12035" width="16.85546875" style="40" customWidth="1"/>
    <col min="12036" max="12036" width="30" style="40" customWidth="1"/>
    <col min="12037" max="12037" width="36.140625" style="40" customWidth="1"/>
    <col min="12038" max="12038" width="17.28515625" style="40" customWidth="1"/>
    <col min="12039" max="12039" width="16.140625" style="40" customWidth="1"/>
    <col min="12040" max="12288" width="9.140625" style="40"/>
    <col min="12289" max="12289" width="9.7109375" style="40" customWidth="1"/>
    <col min="12290" max="12290" width="15" style="40" customWidth="1"/>
    <col min="12291" max="12291" width="16.85546875" style="40" customWidth="1"/>
    <col min="12292" max="12292" width="30" style="40" customWidth="1"/>
    <col min="12293" max="12293" width="36.140625" style="40" customWidth="1"/>
    <col min="12294" max="12294" width="17.28515625" style="40" customWidth="1"/>
    <col min="12295" max="12295" width="16.140625" style="40" customWidth="1"/>
    <col min="12296" max="12544" width="9.140625" style="40"/>
    <col min="12545" max="12545" width="9.7109375" style="40" customWidth="1"/>
    <col min="12546" max="12546" width="15" style="40" customWidth="1"/>
    <col min="12547" max="12547" width="16.85546875" style="40" customWidth="1"/>
    <col min="12548" max="12548" width="30" style="40" customWidth="1"/>
    <col min="12549" max="12549" width="36.140625" style="40" customWidth="1"/>
    <col min="12550" max="12550" width="17.28515625" style="40" customWidth="1"/>
    <col min="12551" max="12551" width="16.140625" style="40" customWidth="1"/>
    <col min="12552" max="12800" width="9.140625" style="40"/>
    <col min="12801" max="12801" width="9.7109375" style="40" customWidth="1"/>
    <col min="12802" max="12802" width="15" style="40" customWidth="1"/>
    <col min="12803" max="12803" width="16.85546875" style="40" customWidth="1"/>
    <col min="12804" max="12804" width="30" style="40" customWidth="1"/>
    <col min="12805" max="12805" width="36.140625" style="40" customWidth="1"/>
    <col min="12806" max="12806" width="17.28515625" style="40" customWidth="1"/>
    <col min="12807" max="12807" width="16.140625" style="40" customWidth="1"/>
    <col min="12808" max="13056" width="9.140625" style="40"/>
    <col min="13057" max="13057" width="9.7109375" style="40" customWidth="1"/>
    <col min="13058" max="13058" width="15" style="40" customWidth="1"/>
    <col min="13059" max="13059" width="16.85546875" style="40" customWidth="1"/>
    <col min="13060" max="13060" width="30" style="40" customWidth="1"/>
    <col min="13061" max="13061" width="36.140625" style="40" customWidth="1"/>
    <col min="13062" max="13062" width="17.28515625" style="40" customWidth="1"/>
    <col min="13063" max="13063" width="16.140625" style="40" customWidth="1"/>
    <col min="13064" max="13312" width="9.140625" style="40"/>
    <col min="13313" max="13313" width="9.7109375" style="40" customWidth="1"/>
    <col min="13314" max="13314" width="15" style="40" customWidth="1"/>
    <col min="13315" max="13315" width="16.85546875" style="40" customWidth="1"/>
    <col min="13316" max="13316" width="30" style="40" customWidth="1"/>
    <col min="13317" max="13317" width="36.140625" style="40" customWidth="1"/>
    <col min="13318" max="13318" width="17.28515625" style="40" customWidth="1"/>
    <col min="13319" max="13319" width="16.140625" style="40" customWidth="1"/>
    <col min="13320" max="13568" width="9.140625" style="40"/>
    <col min="13569" max="13569" width="9.7109375" style="40" customWidth="1"/>
    <col min="13570" max="13570" width="15" style="40" customWidth="1"/>
    <col min="13571" max="13571" width="16.85546875" style="40" customWidth="1"/>
    <col min="13572" max="13572" width="30" style="40" customWidth="1"/>
    <col min="13573" max="13573" width="36.140625" style="40" customWidth="1"/>
    <col min="13574" max="13574" width="17.28515625" style="40" customWidth="1"/>
    <col min="13575" max="13575" width="16.140625" style="40" customWidth="1"/>
    <col min="13576" max="13824" width="9.140625" style="40"/>
    <col min="13825" max="13825" width="9.7109375" style="40" customWidth="1"/>
    <col min="13826" max="13826" width="15" style="40" customWidth="1"/>
    <col min="13827" max="13827" width="16.85546875" style="40" customWidth="1"/>
    <col min="13828" max="13828" width="30" style="40" customWidth="1"/>
    <col min="13829" max="13829" width="36.140625" style="40" customWidth="1"/>
    <col min="13830" max="13830" width="17.28515625" style="40" customWidth="1"/>
    <col min="13831" max="13831" width="16.140625" style="40" customWidth="1"/>
    <col min="13832" max="14080" width="9.140625" style="40"/>
    <col min="14081" max="14081" width="9.7109375" style="40" customWidth="1"/>
    <col min="14082" max="14082" width="15" style="40" customWidth="1"/>
    <col min="14083" max="14083" width="16.85546875" style="40" customWidth="1"/>
    <col min="14084" max="14084" width="30" style="40" customWidth="1"/>
    <col min="14085" max="14085" width="36.140625" style="40" customWidth="1"/>
    <col min="14086" max="14086" width="17.28515625" style="40" customWidth="1"/>
    <col min="14087" max="14087" width="16.140625" style="40" customWidth="1"/>
    <col min="14088" max="14336" width="9.140625" style="40"/>
    <col min="14337" max="14337" width="9.7109375" style="40" customWidth="1"/>
    <col min="14338" max="14338" width="15" style="40" customWidth="1"/>
    <col min="14339" max="14339" width="16.85546875" style="40" customWidth="1"/>
    <col min="14340" max="14340" width="30" style="40" customWidth="1"/>
    <col min="14341" max="14341" width="36.140625" style="40" customWidth="1"/>
    <col min="14342" max="14342" width="17.28515625" style="40" customWidth="1"/>
    <col min="14343" max="14343" width="16.140625" style="40" customWidth="1"/>
    <col min="14344" max="14592" width="9.140625" style="40"/>
    <col min="14593" max="14593" width="9.7109375" style="40" customWidth="1"/>
    <col min="14594" max="14594" width="15" style="40" customWidth="1"/>
    <col min="14595" max="14595" width="16.85546875" style="40" customWidth="1"/>
    <col min="14596" max="14596" width="30" style="40" customWidth="1"/>
    <col min="14597" max="14597" width="36.140625" style="40" customWidth="1"/>
    <col min="14598" max="14598" width="17.28515625" style="40" customWidth="1"/>
    <col min="14599" max="14599" width="16.140625" style="40" customWidth="1"/>
    <col min="14600" max="14848" width="9.140625" style="40"/>
    <col min="14849" max="14849" width="9.7109375" style="40" customWidth="1"/>
    <col min="14850" max="14850" width="15" style="40" customWidth="1"/>
    <col min="14851" max="14851" width="16.85546875" style="40" customWidth="1"/>
    <col min="14852" max="14852" width="30" style="40" customWidth="1"/>
    <col min="14853" max="14853" width="36.140625" style="40" customWidth="1"/>
    <col min="14854" max="14854" width="17.28515625" style="40" customWidth="1"/>
    <col min="14855" max="14855" width="16.140625" style="40" customWidth="1"/>
    <col min="14856" max="15104" width="9.140625" style="40"/>
    <col min="15105" max="15105" width="9.7109375" style="40" customWidth="1"/>
    <col min="15106" max="15106" width="15" style="40" customWidth="1"/>
    <col min="15107" max="15107" width="16.85546875" style="40" customWidth="1"/>
    <col min="15108" max="15108" width="30" style="40" customWidth="1"/>
    <col min="15109" max="15109" width="36.140625" style="40" customWidth="1"/>
    <col min="15110" max="15110" width="17.28515625" style="40" customWidth="1"/>
    <col min="15111" max="15111" width="16.140625" style="40" customWidth="1"/>
    <col min="15112" max="15360" width="9.140625" style="40"/>
    <col min="15361" max="15361" width="9.7109375" style="40" customWidth="1"/>
    <col min="15362" max="15362" width="15" style="40" customWidth="1"/>
    <col min="15363" max="15363" width="16.85546875" style="40" customWidth="1"/>
    <col min="15364" max="15364" width="30" style="40" customWidth="1"/>
    <col min="15365" max="15365" width="36.140625" style="40" customWidth="1"/>
    <col min="15366" max="15366" width="17.28515625" style="40" customWidth="1"/>
    <col min="15367" max="15367" width="16.140625" style="40" customWidth="1"/>
    <col min="15368" max="15616" width="9.140625" style="40"/>
    <col min="15617" max="15617" width="9.7109375" style="40" customWidth="1"/>
    <col min="15618" max="15618" width="15" style="40" customWidth="1"/>
    <col min="15619" max="15619" width="16.85546875" style="40" customWidth="1"/>
    <col min="15620" max="15620" width="30" style="40" customWidth="1"/>
    <col min="15621" max="15621" width="36.140625" style="40" customWidth="1"/>
    <col min="15622" max="15622" width="17.28515625" style="40" customWidth="1"/>
    <col min="15623" max="15623" width="16.140625" style="40" customWidth="1"/>
    <col min="15624" max="15872" width="9.140625" style="40"/>
    <col min="15873" max="15873" width="9.7109375" style="40" customWidth="1"/>
    <col min="15874" max="15874" width="15" style="40" customWidth="1"/>
    <col min="15875" max="15875" width="16.85546875" style="40" customWidth="1"/>
    <col min="15876" max="15876" width="30" style="40" customWidth="1"/>
    <col min="15877" max="15877" width="36.140625" style="40" customWidth="1"/>
    <col min="15878" max="15878" width="17.28515625" style="40" customWidth="1"/>
    <col min="15879" max="15879" width="16.140625" style="40" customWidth="1"/>
    <col min="15880" max="16128" width="9.140625" style="40"/>
    <col min="16129" max="16129" width="9.7109375" style="40" customWidth="1"/>
    <col min="16130" max="16130" width="15" style="40" customWidth="1"/>
    <col min="16131" max="16131" width="16.85546875" style="40" customWidth="1"/>
    <col min="16132" max="16132" width="30" style="40" customWidth="1"/>
    <col min="16133" max="16133" width="36.140625" style="40" customWidth="1"/>
    <col min="16134" max="16134" width="17.28515625" style="40" customWidth="1"/>
    <col min="16135" max="16135" width="16.140625" style="40" customWidth="1"/>
    <col min="16136" max="16384" width="9.140625" style="40"/>
  </cols>
  <sheetData>
    <row r="1" spans="1:7" x14ac:dyDescent="0.2">
      <c r="A1" s="46" t="s">
        <v>35</v>
      </c>
      <c r="B1" s="47"/>
      <c r="C1" s="47"/>
      <c r="D1" s="47"/>
      <c r="E1" s="47"/>
      <c r="F1" s="48"/>
    </row>
    <row r="2" spans="1:7" x14ac:dyDescent="0.2">
      <c r="A2" s="49" t="s">
        <v>36</v>
      </c>
      <c r="B2" s="50"/>
      <c r="C2" s="50"/>
      <c r="D2" s="50"/>
      <c r="E2" s="50"/>
      <c r="F2" s="51"/>
    </row>
    <row r="3" spans="1:7" x14ac:dyDescent="0.2">
      <c r="A3" s="49"/>
      <c r="B3" s="50"/>
      <c r="C3" s="50"/>
      <c r="D3" s="50"/>
      <c r="E3" s="50"/>
      <c r="F3" s="51"/>
    </row>
    <row r="4" spans="1:7" x14ac:dyDescent="0.2">
      <c r="A4" s="49" t="s">
        <v>37</v>
      </c>
      <c r="B4" s="50"/>
      <c r="C4" s="50"/>
      <c r="D4" s="50"/>
      <c r="E4" s="50"/>
      <c r="F4" s="51"/>
    </row>
    <row r="5" spans="1:7" x14ac:dyDescent="0.2">
      <c r="A5" s="49" t="s">
        <v>92</v>
      </c>
      <c r="B5" s="50"/>
      <c r="C5" s="50"/>
      <c r="D5" s="50"/>
      <c r="E5" s="50"/>
      <c r="F5" s="51"/>
    </row>
    <row r="6" spans="1:7" x14ac:dyDescent="0.2">
      <c r="A6" s="49" t="s">
        <v>91</v>
      </c>
      <c r="B6" s="50"/>
      <c r="C6" s="50"/>
      <c r="D6" s="50"/>
      <c r="E6" s="50"/>
      <c r="F6" s="51"/>
    </row>
    <row r="7" spans="1:7" x14ac:dyDescent="0.2">
      <c r="A7" s="49"/>
      <c r="B7" s="50"/>
      <c r="C7" s="50"/>
      <c r="D7" s="50"/>
      <c r="E7" s="50"/>
      <c r="F7" s="51"/>
    </row>
    <row r="8" spans="1:7" x14ac:dyDescent="0.2">
      <c r="A8" s="52" t="s">
        <v>38</v>
      </c>
      <c r="B8" s="53"/>
      <c r="C8" s="53"/>
      <c r="D8" s="53"/>
      <c r="E8" s="53"/>
      <c r="F8" s="54"/>
    </row>
    <row r="9" spans="1:7" x14ac:dyDescent="0.2">
      <c r="A9" s="41"/>
    </row>
    <row r="12" spans="1:7" ht="15.75" x14ac:dyDescent="0.25">
      <c r="A12" s="42" t="s">
        <v>39</v>
      </c>
    </row>
    <row r="13" spans="1:7" x14ac:dyDescent="0.2">
      <c r="A13" s="43" t="s">
        <v>40</v>
      </c>
      <c r="B13" s="43" t="s">
        <v>41</v>
      </c>
      <c r="C13" s="43" t="s">
        <v>42</v>
      </c>
      <c r="D13" s="43" t="s">
        <v>43</v>
      </c>
      <c r="E13" s="43" t="s">
        <v>44</v>
      </c>
      <c r="F13" s="43" t="s">
        <v>45</v>
      </c>
      <c r="G13" s="43" t="s">
        <v>46</v>
      </c>
    </row>
    <row r="14" spans="1:7" x14ac:dyDescent="0.2">
      <c r="A14" s="55">
        <v>1</v>
      </c>
      <c r="B14" s="55" t="s">
        <v>47</v>
      </c>
      <c r="C14" s="55" t="s">
        <v>48</v>
      </c>
      <c r="D14" s="55" t="s">
        <v>49</v>
      </c>
      <c r="E14" s="55" t="s">
        <v>50</v>
      </c>
      <c r="F14" s="55" t="s">
        <v>51</v>
      </c>
      <c r="G14" s="55" t="s">
        <v>52</v>
      </c>
    </row>
    <row r="18" spans="1:7" x14ac:dyDescent="0.2">
      <c r="A18" s="43" t="s">
        <v>40</v>
      </c>
      <c r="B18" s="43" t="s">
        <v>41</v>
      </c>
      <c r="C18" s="43" t="s">
        <v>42</v>
      </c>
      <c r="D18" s="43" t="s">
        <v>43</v>
      </c>
      <c r="E18" s="43" t="s">
        <v>44</v>
      </c>
      <c r="F18" s="43" t="s">
        <v>45</v>
      </c>
      <c r="G18" s="43" t="s">
        <v>46</v>
      </c>
    </row>
    <row r="19" spans="1:7" x14ac:dyDescent="0.2">
      <c r="A19" s="55">
        <v>1</v>
      </c>
      <c r="B19" s="55" t="s">
        <v>47</v>
      </c>
      <c r="C19" s="55" t="s">
        <v>48</v>
      </c>
      <c r="D19" s="55" t="s">
        <v>49</v>
      </c>
      <c r="E19" s="55" t="s">
        <v>50</v>
      </c>
      <c r="F19" s="55"/>
      <c r="G19" s="55"/>
    </row>
    <row r="20" spans="1:7" x14ac:dyDescent="0.2">
      <c r="A20" s="55">
        <v>2</v>
      </c>
      <c r="B20" s="55" t="s">
        <v>53</v>
      </c>
      <c r="C20" s="55" t="s">
        <v>54</v>
      </c>
      <c r="D20" s="55" t="s">
        <v>55</v>
      </c>
      <c r="E20" s="55" t="s">
        <v>56</v>
      </c>
      <c r="F20" s="55"/>
      <c r="G20" s="55"/>
    </row>
    <row r="21" spans="1:7" x14ac:dyDescent="0.2">
      <c r="A21" s="55">
        <v>3</v>
      </c>
      <c r="B21" s="55" t="s">
        <v>57</v>
      </c>
      <c r="C21" s="55" t="s">
        <v>58</v>
      </c>
      <c r="D21" s="55" t="s">
        <v>55</v>
      </c>
      <c r="E21" s="55" t="s">
        <v>59</v>
      </c>
      <c r="F21" s="55"/>
      <c r="G21" s="55"/>
    </row>
    <row r="22" spans="1:7" x14ac:dyDescent="0.2">
      <c r="A22" s="55">
        <v>4</v>
      </c>
      <c r="B22" s="55" t="s">
        <v>60</v>
      </c>
      <c r="C22" s="55" t="s">
        <v>61</v>
      </c>
      <c r="D22" s="55" t="s">
        <v>55</v>
      </c>
      <c r="E22" s="55" t="s">
        <v>56</v>
      </c>
      <c r="F22" s="55"/>
      <c r="G22" s="55"/>
    </row>
    <row r="23" spans="1:7" x14ac:dyDescent="0.2">
      <c r="A23" s="55">
        <v>5</v>
      </c>
      <c r="B23" s="55" t="s">
        <v>62</v>
      </c>
      <c r="C23" s="55" t="s">
        <v>63</v>
      </c>
      <c r="D23" s="55" t="s">
        <v>64</v>
      </c>
      <c r="E23" s="55" t="s">
        <v>65</v>
      </c>
      <c r="F23" s="55"/>
      <c r="G23" s="55"/>
    </row>
    <row r="24" spans="1:7" x14ac:dyDescent="0.2">
      <c r="A24" s="55">
        <v>6</v>
      </c>
      <c r="B24" s="55" t="s">
        <v>66</v>
      </c>
      <c r="C24" s="55" t="s">
        <v>67</v>
      </c>
      <c r="D24" s="55" t="s">
        <v>68</v>
      </c>
      <c r="E24" s="55" t="s">
        <v>69</v>
      </c>
      <c r="F24" s="55"/>
      <c r="G24" s="55"/>
    </row>
    <row r="25" spans="1:7" x14ac:dyDescent="0.2">
      <c r="A25" s="55">
        <v>7</v>
      </c>
      <c r="B25" s="55" t="s">
        <v>70</v>
      </c>
      <c r="C25" s="55" t="s">
        <v>71</v>
      </c>
      <c r="D25" s="55" t="s">
        <v>55</v>
      </c>
      <c r="E25" s="55" t="s">
        <v>50</v>
      </c>
      <c r="F25" s="55"/>
      <c r="G25" s="55"/>
    </row>
    <row r="26" spans="1:7" x14ac:dyDescent="0.2">
      <c r="A26" s="55">
        <v>8</v>
      </c>
      <c r="B26" s="55" t="s">
        <v>72</v>
      </c>
      <c r="C26" s="55" t="s">
        <v>48</v>
      </c>
      <c r="D26" s="55" t="s">
        <v>73</v>
      </c>
      <c r="E26" s="55" t="s">
        <v>74</v>
      </c>
      <c r="F26" s="55"/>
      <c r="G26" s="55"/>
    </row>
    <row r="27" spans="1:7" x14ac:dyDescent="0.2">
      <c r="A27" s="55">
        <v>9</v>
      </c>
      <c r="B27" s="55" t="s">
        <v>75</v>
      </c>
      <c r="C27" s="55" t="s">
        <v>76</v>
      </c>
      <c r="D27" s="55" t="s">
        <v>77</v>
      </c>
      <c r="E27" s="55" t="s">
        <v>78</v>
      </c>
      <c r="F27" s="55"/>
      <c r="G27" s="55"/>
    </row>
    <row r="28" spans="1:7" x14ac:dyDescent="0.2">
      <c r="A28" s="55">
        <v>10</v>
      </c>
      <c r="B28" s="55" t="s">
        <v>79</v>
      </c>
      <c r="C28" s="55" t="s">
        <v>80</v>
      </c>
      <c r="D28" s="55" t="s">
        <v>81</v>
      </c>
      <c r="E28" s="55" t="s">
        <v>82</v>
      </c>
      <c r="F28" s="55"/>
      <c r="G28" s="55"/>
    </row>
    <row r="29" spans="1:7" x14ac:dyDescent="0.2">
      <c r="A29" s="55">
        <v>11</v>
      </c>
      <c r="B29" s="55" t="s">
        <v>83</v>
      </c>
      <c r="C29" s="55" t="s">
        <v>84</v>
      </c>
      <c r="D29" s="55" t="s">
        <v>49</v>
      </c>
      <c r="E29" s="55" t="s">
        <v>85</v>
      </c>
      <c r="F29" s="55"/>
      <c r="G29" s="5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N124"/>
  <sheetViews>
    <sheetView workbookViewId="0">
      <selection activeCell="H19" sqref="H19"/>
    </sheetView>
  </sheetViews>
  <sheetFormatPr defaultRowHeight="15" x14ac:dyDescent="0.25"/>
  <cols>
    <col min="1" max="1" width="17.140625" style="71" customWidth="1"/>
    <col min="2" max="5" width="13.5703125" style="71" customWidth="1"/>
    <col min="6" max="6" width="16" style="72" customWidth="1"/>
    <col min="7" max="7" width="13.42578125" style="73" customWidth="1"/>
    <col min="8" max="8" width="11.42578125" style="74" customWidth="1"/>
    <col min="9" max="16384" width="9.140625" style="71"/>
  </cols>
  <sheetData>
    <row r="12" spans="1:7" ht="15.75" thickBot="1" x14ac:dyDescent="0.3"/>
    <row r="13" spans="1:7" ht="33" customHeight="1" thickBot="1" x14ac:dyDescent="0.3">
      <c r="A13" s="80" t="s">
        <v>93</v>
      </c>
      <c r="B13" s="81">
        <v>850</v>
      </c>
      <c r="C13" s="81">
        <v>950</v>
      </c>
      <c r="D13" s="81">
        <v>1000</v>
      </c>
      <c r="E13" s="81">
        <v>1200</v>
      </c>
      <c r="F13" s="82" t="s">
        <v>94</v>
      </c>
      <c r="G13" s="80" t="s">
        <v>95</v>
      </c>
    </row>
    <row r="14" spans="1:7" ht="15.75" thickBot="1" x14ac:dyDescent="0.3">
      <c r="A14" s="83" t="s">
        <v>96</v>
      </c>
      <c r="B14" s="83">
        <f>COUNTIF(H20:H103,TRUE)</f>
        <v>21</v>
      </c>
      <c r="C14" s="83">
        <f>COUNTIF(I20:I103,TRUE)</f>
        <v>52</v>
      </c>
      <c r="D14" s="83">
        <f>COUNTIF(J20:J103,TRUE)</f>
        <v>62</v>
      </c>
      <c r="E14" s="83">
        <f>COUNTIF(K20:K103,TRUE)</f>
        <v>80</v>
      </c>
      <c r="F14" s="84"/>
      <c r="G14" s="84"/>
    </row>
    <row r="15" spans="1:7" ht="15.75" thickBot="1" x14ac:dyDescent="0.3"/>
    <row r="16" spans="1:7" ht="16.5" thickBot="1" x14ac:dyDescent="0.3">
      <c r="C16" s="75" t="s">
        <v>97</v>
      </c>
      <c r="D16" s="76">
        <v>1000</v>
      </c>
    </row>
    <row r="17" spans="1:14" ht="15.75" thickBot="1" x14ac:dyDescent="0.3"/>
    <row r="18" spans="1:14" ht="15.75" thickBot="1" x14ac:dyDescent="0.3">
      <c r="A18" s="80" t="s">
        <v>98</v>
      </c>
      <c r="B18" s="80" t="s">
        <v>99</v>
      </c>
      <c r="C18" s="80" t="s">
        <v>100</v>
      </c>
      <c r="D18" s="80" t="s">
        <v>101</v>
      </c>
      <c r="E18" s="80" t="s">
        <v>102</v>
      </c>
      <c r="F18" s="85" t="s">
        <v>103</v>
      </c>
      <c r="G18" s="85" t="s">
        <v>104</v>
      </c>
      <c r="H18" s="138" t="s">
        <v>300</v>
      </c>
      <c r="I18" s="139"/>
      <c r="J18" s="139"/>
      <c r="K18" s="139"/>
    </row>
    <row r="19" spans="1:14" ht="36" customHeight="1" thickBot="1" x14ac:dyDescent="0.3">
      <c r="A19" s="80" t="s">
        <v>105</v>
      </c>
      <c r="B19" s="80" t="s">
        <v>106</v>
      </c>
      <c r="C19" s="80"/>
      <c r="D19" s="80" t="s">
        <v>107</v>
      </c>
      <c r="E19" s="80" t="s">
        <v>108</v>
      </c>
      <c r="F19" s="85"/>
      <c r="G19" s="85"/>
      <c r="H19" s="81">
        <v>850</v>
      </c>
      <c r="I19" s="81">
        <v>950</v>
      </c>
      <c r="J19" s="81">
        <v>1000</v>
      </c>
      <c r="K19" s="81">
        <v>1200</v>
      </c>
    </row>
    <row r="20" spans="1:14" ht="15.75" thickBot="1" x14ac:dyDescent="0.3">
      <c r="A20" s="86">
        <v>1</v>
      </c>
      <c r="B20" s="86" t="s">
        <v>109</v>
      </c>
      <c r="C20" s="86" t="s">
        <v>110</v>
      </c>
      <c r="D20" s="86">
        <v>1990</v>
      </c>
      <c r="E20" s="86">
        <v>63</v>
      </c>
      <c r="F20" s="87">
        <v>2800</v>
      </c>
      <c r="G20" s="88" t="s">
        <v>111</v>
      </c>
      <c r="H20" s="89" t="b">
        <f>$H$19&gt;=F20*0.25</f>
        <v>1</v>
      </c>
      <c r="I20" s="89" t="b">
        <f>$I$19&gt;=F20*0.25</f>
        <v>1</v>
      </c>
      <c r="J20" s="89" t="b">
        <f>$J$19&gt;=F20*0.25</f>
        <v>1</v>
      </c>
      <c r="K20" s="89" t="b">
        <f>$K$19&gt;=F20*0.25</f>
        <v>1</v>
      </c>
      <c r="N20" s="137"/>
    </row>
    <row r="21" spans="1:14" ht="15.75" thickBot="1" x14ac:dyDescent="0.3">
      <c r="A21" s="86">
        <v>17</v>
      </c>
      <c r="B21" s="86" t="s">
        <v>109</v>
      </c>
      <c r="C21" s="86" t="s">
        <v>129</v>
      </c>
      <c r="D21" s="86">
        <v>1990</v>
      </c>
      <c r="E21" s="86">
        <v>55</v>
      </c>
      <c r="F21" s="87">
        <v>2900</v>
      </c>
      <c r="G21" s="88" t="s">
        <v>134</v>
      </c>
      <c r="H21" s="89" t="b">
        <f>$H$19&gt;=F21*0.25</f>
        <v>1</v>
      </c>
      <c r="I21" s="89" t="b">
        <f>$I$19&gt;=F21*0.25</f>
        <v>1</v>
      </c>
      <c r="J21" s="89" t="b">
        <f>$J$19&gt;=F21*0.25</f>
        <v>1</v>
      </c>
      <c r="K21" s="89" t="b">
        <f>$K$19&gt;=F21*0.25</f>
        <v>1</v>
      </c>
    </row>
    <row r="22" spans="1:14" ht="15.75" thickBot="1" x14ac:dyDescent="0.3">
      <c r="A22" s="86">
        <v>11</v>
      </c>
      <c r="B22" s="86" t="s">
        <v>126</v>
      </c>
      <c r="C22" s="86" t="s">
        <v>116</v>
      </c>
      <c r="D22" s="86">
        <v>1992</v>
      </c>
      <c r="E22" s="86">
        <v>36</v>
      </c>
      <c r="F22" s="87">
        <v>3000</v>
      </c>
      <c r="G22" s="88" t="s">
        <v>127</v>
      </c>
      <c r="H22" s="89" t="b">
        <f>$H$19&gt;=F22*0.25</f>
        <v>1</v>
      </c>
      <c r="I22" s="89" t="b">
        <f>$I$19&gt;=F22*0.25</f>
        <v>1</v>
      </c>
      <c r="J22" s="89" t="b">
        <f>$J$19&gt;=F22*0.25</f>
        <v>1</v>
      </c>
      <c r="K22" s="89" t="b">
        <f>$K$19&gt;=F22*0.25</f>
        <v>1</v>
      </c>
    </row>
    <row r="23" spans="1:14" ht="15.75" thickBot="1" x14ac:dyDescent="0.3">
      <c r="A23" s="86">
        <v>21</v>
      </c>
      <c r="B23" s="86" t="s">
        <v>126</v>
      </c>
      <c r="C23" s="86" t="s">
        <v>124</v>
      </c>
      <c r="D23" s="86">
        <v>1993</v>
      </c>
      <c r="E23" s="86">
        <v>80</v>
      </c>
      <c r="F23" s="87">
        <v>3000</v>
      </c>
      <c r="G23" s="88" t="s">
        <v>139</v>
      </c>
      <c r="H23" s="89" t="b">
        <f>$H$19&gt;=F23*0.25</f>
        <v>1</v>
      </c>
      <c r="I23" s="89" t="b">
        <f>$I$19&gt;=F23*0.25</f>
        <v>1</v>
      </c>
      <c r="J23" s="89" t="b">
        <f>$J$19&gt;=F23*0.25</f>
        <v>1</v>
      </c>
      <c r="K23" s="89" t="b">
        <f>$K$19&gt;=F23*0.25</f>
        <v>1</v>
      </c>
    </row>
    <row r="24" spans="1:14" ht="15.75" thickBot="1" x14ac:dyDescent="0.3">
      <c r="A24" s="86">
        <v>46</v>
      </c>
      <c r="B24" s="86" t="s">
        <v>140</v>
      </c>
      <c r="C24" s="86" t="s">
        <v>116</v>
      </c>
      <c r="D24" s="86">
        <v>1990</v>
      </c>
      <c r="E24" s="86">
        <v>96</v>
      </c>
      <c r="F24" s="87">
        <v>3000</v>
      </c>
      <c r="G24" s="88" t="s">
        <v>171</v>
      </c>
      <c r="H24" s="89" t="b">
        <f>$H$19&gt;=F24*0.25</f>
        <v>1</v>
      </c>
      <c r="I24" s="89" t="b">
        <f>$I$19&gt;=F24*0.25</f>
        <v>1</v>
      </c>
      <c r="J24" s="89" t="b">
        <f>$J$19&gt;=F24*0.25</f>
        <v>1</v>
      </c>
      <c r="K24" s="89" t="b">
        <f>$K$19&gt;=F24*0.25</f>
        <v>1</v>
      </c>
    </row>
    <row r="25" spans="1:14" ht="15.75" thickBot="1" x14ac:dyDescent="0.3">
      <c r="A25" s="86">
        <v>48</v>
      </c>
      <c r="B25" s="86" t="s">
        <v>140</v>
      </c>
      <c r="C25" s="86" t="s">
        <v>116</v>
      </c>
      <c r="D25" s="86">
        <v>1990</v>
      </c>
      <c r="E25" s="86">
        <v>95</v>
      </c>
      <c r="F25" s="87">
        <v>3000</v>
      </c>
      <c r="G25" s="88" t="s">
        <v>173</v>
      </c>
      <c r="H25" s="89" t="b">
        <f>$H$19&gt;=F25*0.25</f>
        <v>1</v>
      </c>
      <c r="I25" s="89" t="b">
        <f>$I$19&gt;=F25*0.25</f>
        <v>1</v>
      </c>
      <c r="J25" s="89" t="b">
        <f>$J$19&gt;=F25*0.25</f>
        <v>1</v>
      </c>
      <c r="K25" s="89" t="b">
        <f>$K$19&gt;=F25*0.25</f>
        <v>1</v>
      </c>
    </row>
    <row r="26" spans="1:14" ht="15.75" thickBot="1" x14ac:dyDescent="0.3">
      <c r="A26" s="86">
        <v>67</v>
      </c>
      <c r="B26" s="86" t="s">
        <v>140</v>
      </c>
      <c r="C26" s="86" t="s">
        <v>116</v>
      </c>
      <c r="D26" s="86">
        <v>1990</v>
      </c>
      <c r="E26" s="86">
        <v>96</v>
      </c>
      <c r="F26" s="87">
        <v>3000</v>
      </c>
      <c r="G26" s="88" t="s">
        <v>196</v>
      </c>
      <c r="H26" s="89" t="b">
        <f>$H$19&gt;=F26*0.25</f>
        <v>1</v>
      </c>
      <c r="I26" s="89" t="b">
        <f>$I$19&gt;=F26*0.25</f>
        <v>1</v>
      </c>
      <c r="J26" s="89" t="b">
        <f>$J$19&gt;=F26*0.25</f>
        <v>1</v>
      </c>
      <c r="K26" s="89" t="b">
        <f>$K$19&gt;=F26*0.25</f>
        <v>1</v>
      </c>
    </row>
    <row r="27" spans="1:14" ht="15.75" thickBot="1" x14ac:dyDescent="0.3">
      <c r="A27" s="86">
        <v>69</v>
      </c>
      <c r="B27" s="86" t="s">
        <v>140</v>
      </c>
      <c r="C27" s="86" t="s">
        <v>116</v>
      </c>
      <c r="D27" s="86">
        <v>1990</v>
      </c>
      <c r="E27" s="86">
        <v>95</v>
      </c>
      <c r="F27" s="87">
        <v>3000</v>
      </c>
      <c r="G27" s="88" t="s">
        <v>198</v>
      </c>
      <c r="H27" s="89" t="b">
        <f>$H$19&gt;=F27*0.25</f>
        <v>1</v>
      </c>
      <c r="I27" s="89" t="b">
        <f>$I$19&gt;=F27*0.25</f>
        <v>1</v>
      </c>
      <c r="J27" s="89" t="b">
        <f>$J$19&gt;=F27*0.25</f>
        <v>1</v>
      </c>
      <c r="K27" s="89" t="b">
        <f>$K$19&gt;=F27*0.25</f>
        <v>1</v>
      </c>
    </row>
    <row r="28" spans="1:14" ht="15.75" thickBot="1" x14ac:dyDescent="0.3">
      <c r="A28" s="86">
        <v>15</v>
      </c>
      <c r="B28" s="86" t="s">
        <v>109</v>
      </c>
      <c r="C28" s="86" t="s">
        <v>116</v>
      </c>
      <c r="D28" s="86">
        <v>1991</v>
      </c>
      <c r="E28" s="86">
        <v>80</v>
      </c>
      <c r="F28" s="87">
        <v>3200</v>
      </c>
      <c r="G28" s="88" t="s">
        <v>132</v>
      </c>
      <c r="H28" s="89" t="b">
        <f>$H$19&gt;=F28*0.25</f>
        <v>1</v>
      </c>
      <c r="I28" s="89" t="b">
        <f>$I$19&gt;=F28*0.25</f>
        <v>1</v>
      </c>
      <c r="J28" s="89" t="b">
        <f>$J$19&gt;=F28*0.25</f>
        <v>1</v>
      </c>
      <c r="K28" s="89" t="b">
        <f>$K$19&gt;=F28*0.25</f>
        <v>1</v>
      </c>
    </row>
    <row r="29" spans="1:14" ht="15.75" thickBot="1" x14ac:dyDescent="0.3">
      <c r="A29" s="86">
        <v>29</v>
      </c>
      <c r="B29" s="86" t="s">
        <v>140</v>
      </c>
      <c r="C29" s="86" t="s">
        <v>148</v>
      </c>
      <c r="D29" s="86">
        <v>1991</v>
      </c>
      <c r="E29" s="86">
        <v>95</v>
      </c>
      <c r="F29" s="87">
        <v>3200</v>
      </c>
      <c r="G29" s="88" t="s">
        <v>150</v>
      </c>
      <c r="H29" s="89" t="b">
        <f>$H$19&gt;=F29*0.25</f>
        <v>1</v>
      </c>
      <c r="I29" s="89" t="b">
        <f>$I$19&gt;=F29*0.25</f>
        <v>1</v>
      </c>
      <c r="J29" s="89" t="b">
        <f>$J$19&gt;=F29*0.25</f>
        <v>1</v>
      </c>
      <c r="K29" s="89" t="b">
        <f>$K$19&gt;=F29*0.25</f>
        <v>1</v>
      </c>
    </row>
    <row r="30" spans="1:14" ht="15.75" thickBot="1" x14ac:dyDescent="0.3">
      <c r="A30" s="86">
        <v>31</v>
      </c>
      <c r="B30" s="86" t="s">
        <v>140</v>
      </c>
      <c r="C30" s="86" t="s">
        <v>141</v>
      </c>
      <c r="D30" s="86">
        <v>1993</v>
      </c>
      <c r="E30" s="86">
        <v>56</v>
      </c>
      <c r="F30" s="87">
        <v>3200</v>
      </c>
      <c r="G30" s="88" t="s">
        <v>152</v>
      </c>
      <c r="H30" s="89" t="b">
        <f>$H$19&gt;=F30*0.25</f>
        <v>1</v>
      </c>
      <c r="I30" s="89" t="b">
        <f>$I$19&gt;=F30*0.25</f>
        <v>1</v>
      </c>
      <c r="J30" s="89" t="b">
        <f>$J$19&gt;=F30*0.25</f>
        <v>1</v>
      </c>
      <c r="K30" s="89" t="b">
        <f>$K$19&gt;=F30*0.25</f>
        <v>1</v>
      </c>
    </row>
    <row r="31" spans="1:14" ht="15.75" thickBot="1" x14ac:dyDescent="0.3">
      <c r="A31" s="86">
        <v>32</v>
      </c>
      <c r="B31" s="86" t="s">
        <v>140</v>
      </c>
      <c r="C31" s="86" t="s">
        <v>116</v>
      </c>
      <c r="D31" s="86">
        <v>1991</v>
      </c>
      <c r="E31" s="86">
        <v>82</v>
      </c>
      <c r="F31" s="87">
        <v>3200</v>
      </c>
      <c r="G31" s="88" t="s">
        <v>153</v>
      </c>
      <c r="H31" s="89" t="b">
        <f>$H$19&gt;=F31*0.25</f>
        <v>1</v>
      </c>
      <c r="I31" s="89" t="b">
        <f>$I$19&gt;=F31*0.25</f>
        <v>1</v>
      </c>
      <c r="J31" s="89" t="b">
        <f>$J$19&gt;=F31*0.25</f>
        <v>1</v>
      </c>
      <c r="K31" s="89" t="b">
        <f>$K$19&gt;=F31*0.25</f>
        <v>1</v>
      </c>
    </row>
    <row r="32" spans="1:14" ht="15.75" thickBot="1" x14ac:dyDescent="0.3">
      <c r="A32" s="86">
        <v>55</v>
      </c>
      <c r="B32" s="86" t="s">
        <v>140</v>
      </c>
      <c r="C32" s="86" t="s">
        <v>182</v>
      </c>
      <c r="D32" s="86">
        <v>1991</v>
      </c>
      <c r="E32" s="86">
        <v>78</v>
      </c>
      <c r="F32" s="87">
        <v>3200</v>
      </c>
      <c r="G32" s="88" t="s">
        <v>183</v>
      </c>
      <c r="H32" s="89" t="b">
        <f>$H$19&gt;=F32*0.25</f>
        <v>1</v>
      </c>
      <c r="I32" s="89" t="b">
        <f>$I$19&gt;=F32*0.25</f>
        <v>1</v>
      </c>
      <c r="J32" s="89" t="b">
        <f>$J$19&gt;=F32*0.25</f>
        <v>1</v>
      </c>
      <c r="K32" s="89" t="b">
        <f>$K$19&gt;=F32*0.25</f>
        <v>1</v>
      </c>
    </row>
    <row r="33" spans="1:11" ht="15.75" thickBot="1" x14ac:dyDescent="0.3">
      <c r="A33" s="86">
        <v>56</v>
      </c>
      <c r="B33" s="86" t="s">
        <v>140</v>
      </c>
      <c r="C33" s="86" t="s">
        <v>114</v>
      </c>
      <c r="D33" s="86">
        <v>1992</v>
      </c>
      <c r="E33" s="86">
        <v>81</v>
      </c>
      <c r="F33" s="87">
        <v>3200</v>
      </c>
      <c r="G33" s="88" t="s">
        <v>184</v>
      </c>
      <c r="H33" s="89" t="b">
        <f>$H$19&gt;=F33*0.25</f>
        <v>1</v>
      </c>
      <c r="I33" s="89" t="b">
        <f>$I$19&gt;=F33*0.25</f>
        <v>1</v>
      </c>
      <c r="J33" s="89" t="b">
        <f>$J$19&gt;=F33*0.25</f>
        <v>1</v>
      </c>
      <c r="K33" s="89" t="b">
        <f>$K$19&gt;=F33*0.25</f>
        <v>1</v>
      </c>
    </row>
    <row r="34" spans="1:11" ht="15.75" thickBot="1" x14ac:dyDescent="0.3">
      <c r="A34" s="86">
        <v>57</v>
      </c>
      <c r="B34" s="86" t="s">
        <v>140</v>
      </c>
      <c r="C34" s="86" t="s">
        <v>124</v>
      </c>
      <c r="D34" s="86">
        <v>1991</v>
      </c>
      <c r="E34" s="86">
        <v>81</v>
      </c>
      <c r="F34" s="87">
        <v>3200</v>
      </c>
      <c r="G34" s="88" t="s">
        <v>185</v>
      </c>
      <c r="H34" s="89" t="b">
        <f>$H$19&gt;=F34*0.25</f>
        <v>1</v>
      </c>
      <c r="I34" s="89" t="b">
        <f>$I$19&gt;=F34*0.25</f>
        <v>1</v>
      </c>
      <c r="J34" s="89" t="b">
        <f>$J$19&gt;=F34*0.25</f>
        <v>1</v>
      </c>
      <c r="K34" s="89" t="b">
        <f>$K$19&gt;=F34*0.25</f>
        <v>1</v>
      </c>
    </row>
    <row r="35" spans="1:11" ht="15.75" thickBot="1" x14ac:dyDescent="0.3">
      <c r="A35" s="86">
        <v>76</v>
      </c>
      <c r="B35" s="86" t="s">
        <v>189</v>
      </c>
      <c r="C35" s="86" t="s">
        <v>182</v>
      </c>
      <c r="D35" s="86">
        <v>1991</v>
      </c>
      <c r="E35" s="86">
        <v>78</v>
      </c>
      <c r="F35" s="87">
        <v>3200</v>
      </c>
      <c r="G35" s="88" t="s">
        <v>205</v>
      </c>
      <c r="H35" s="89" t="b">
        <f>$H$19&gt;=F35*0.25</f>
        <v>1</v>
      </c>
      <c r="I35" s="89" t="b">
        <f>$I$19&gt;=F35*0.25</f>
        <v>1</v>
      </c>
      <c r="J35" s="89" t="b">
        <f>$J$19&gt;=F35*0.25</f>
        <v>1</v>
      </c>
      <c r="K35" s="89" t="b">
        <f>$K$19&gt;=F35*0.25</f>
        <v>1</v>
      </c>
    </row>
    <row r="36" spans="1:11" ht="15.75" thickBot="1" x14ac:dyDescent="0.3">
      <c r="A36" s="86">
        <v>78</v>
      </c>
      <c r="B36" s="86" t="s">
        <v>189</v>
      </c>
      <c r="C36" s="86" t="s">
        <v>124</v>
      </c>
      <c r="D36" s="86">
        <v>1991</v>
      </c>
      <c r="E36" s="86">
        <v>81</v>
      </c>
      <c r="F36" s="87">
        <v>3200</v>
      </c>
      <c r="G36" s="88" t="s">
        <v>207</v>
      </c>
      <c r="H36" s="89" t="b">
        <f>$H$19&gt;=F36*0.25</f>
        <v>1</v>
      </c>
      <c r="I36" s="89" t="b">
        <f>$I$19&gt;=F36*0.25</f>
        <v>1</v>
      </c>
      <c r="J36" s="89" t="b">
        <f>$J$19&gt;=F36*0.25</f>
        <v>1</v>
      </c>
      <c r="K36" s="89" t="b">
        <f>$K$19&gt;=F36*0.25</f>
        <v>1</v>
      </c>
    </row>
    <row r="37" spans="1:11" ht="15.75" thickBot="1" x14ac:dyDescent="0.3">
      <c r="A37" s="86">
        <v>2</v>
      </c>
      <c r="B37" s="86" t="s">
        <v>109</v>
      </c>
      <c r="C37" s="86" t="s">
        <v>112</v>
      </c>
      <c r="D37" s="86">
        <v>1990</v>
      </c>
      <c r="E37" s="86">
        <v>80</v>
      </c>
      <c r="F37" s="87">
        <v>3300</v>
      </c>
      <c r="G37" s="88" t="s">
        <v>113</v>
      </c>
      <c r="H37" s="89" t="b">
        <f>$H$19&gt;=F37*0.25</f>
        <v>1</v>
      </c>
      <c r="I37" s="89" t="b">
        <f>$I$19&gt;=F37*0.25</f>
        <v>1</v>
      </c>
      <c r="J37" s="89" t="b">
        <f>$J$19&gt;=F37*0.25</f>
        <v>1</v>
      </c>
      <c r="K37" s="89" t="b">
        <f>$K$19&gt;=F37*0.25</f>
        <v>1</v>
      </c>
    </row>
    <row r="38" spans="1:11" ht="15.75" thickBot="1" x14ac:dyDescent="0.3">
      <c r="A38" s="86">
        <v>4</v>
      </c>
      <c r="B38" s="86" t="s">
        <v>109</v>
      </c>
      <c r="C38" s="86" t="s">
        <v>116</v>
      </c>
      <c r="D38" s="86">
        <v>1991</v>
      </c>
      <c r="E38" s="86">
        <v>77</v>
      </c>
      <c r="F38" s="87">
        <v>3300</v>
      </c>
      <c r="G38" s="88" t="s">
        <v>117</v>
      </c>
      <c r="H38" s="89" t="b">
        <f>$H$19&gt;=F38*0.25</f>
        <v>1</v>
      </c>
      <c r="I38" s="89" t="b">
        <f>$I$19&gt;=F38*0.25</f>
        <v>1</v>
      </c>
      <c r="J38" s="89" t="b">
        <f>$J$19&gt;=F38*0.25</f>
        <v>1</v>
      </c>
      <c r="K38" s="89" t="b">
        <f>$K$19&gt;=F38*0.25</f>
        <v>1</v>
      </c>
    </row>
    <row r="39" spans="1:11" ht="15.75" thickBot="1" x14ac:dyDescent="0.3">
      <c r="A39" s="86">
        <v>50</v>
      </c>
      <c r="B39" s="86" t="s">
        <v>140</v>
      </c>
      <c r="C39" s="86" t="s">
        <v>164</v>
      </c>
      <c r="D39" s="86">
        <v>1990</v>
      </c>
      <c r="E39" s="86">
        <v>60</v>
      </c>
      <c r="F39" s="87">
        <v>3300</v>
      </c>
      <c r="G39" s="88" t="s">
        <v>175</v>
      </c>
      <c r="H39" s="89" t="b">
        <f>$H$19&gt;=F39*0.25</f>
        <v>1</v>
      </c>
      <c r="I39" s="89" t="b">
        <f>$I$19&gt;=F39*0.25</f>
        <v>1</v>
      </c>
      <c r="J39" s="89" t="b">
        <f>$J$19&gt;=F39*0.25</f>
        <v>1</v>
      </c>
      <c r="K39" s="89" t="b">
        <f>$K$19&gt;=F39*0.25</f>
        <v>1</v>
      </c>
    </row>
    <row r="40" spans="1:11" ht="15.75" thickBot="1" x14ac:dyDescent="0.3">
      <c r="A40" s="86">
        <v>16</v>
      </c>
      <c r="B40" s="86" t="s">
        <v>126</v>
      </c>
      <c r="C40" s="86" t="s">
        <v>116</v>
      </c>
      <c r="D40" s="86">
        <v>1991</v>
      </c>
      <c r="E40" s="86">
        <v>75</v>
      </c>
      <c r="F40" s="87">
        <v>3400</v>
      </c>
      <c r="G40" s="88" t="s">
        <v>133</v>
      </c>
      <c r="H40" s="89" t="b">
        <f>$H$19&gt;=F40*0.25</f>
        <v>1</v>
      </c>
      <c r="I40" s="89" t="b">
        <f>$I$19&gt;=F40*0.25</f>
        <v>1</v>
      </c>
      <c r="J40" s="89" t="b">
        <f>$J$19&gt;=F40*0.25</f>
        <v>1</v>
      </c>
      <c r="K40" s="89" t="b">
        <f>$K$19&gt;=F40*0.25</f>
        <v>1</v>
      </c>
    </row>
    <row r="41" spans="1:11" ht="15.75" thickBot="1" x14ac:dyDescent="0.3">
      <c r="A41" s="86">
        <v>22</v>
      </c>
      <c r="B41" s="86" t="s">
        <v>140</v>
      </c>
      <c r="C41" s="86" t="s">
        <v>141</v>
      </c>
      <c r="D41" s="86">
        <v>1991</v>
      </c>
      <c r="E41" s="86">
        <v>88</v>
      </c>
      <c r="F41" s="87">
        <v>3500</v>
      </c>
      <c r="G41" s="88" t="s">
        <v>142</v>
      </c>
      <c r="H41" s="89" t="b">
        <f>$H$19&gt;=F41*0.25</f>
        <v>0</v>
      </c>
      <c r="I41" s="89" t="b">
        <f>$I$19&gt;=F41*0.25</f>
        <v>1</v>
      </c>
      <c r="J41" s="89" t="b">
        <f>$J$19&gt;=F41*0.25</f>
        <v>1</v>
      </c>
      <c r="K41" s="89" t="b">
        <f>$K$19&gt;=F41*0.25</f>
        <v>1</v>
      </c>
    </row>
    <row r="42" spans="1:11" ht="15.75" thickBot="1" x14ac:dyDescent="0.3">
      <c r="A42" s="86">
        <v>33</v>
      </c>
      <c r="B42" s="86" t="s">
        <v>140</v>
      </c>
      <c r="C42" s="86" t="s">
        <v>154</v>
      </c>
      <c r="D42" s="86">
        <v>1992</v>
      </c>
      <c r="E42" s="86">
        <v>77</v>
      </c>
      <c r="F42" s="87">
        <v>3500</v>
      </c>
      <c r="G42" s="88" t="s">
        <v>155</v>
      </c>
      <c r="H42" s="89" t="b">
        <f>$H$19&gt;=F42*0.25</f>
        <v>0</v>
      </c>
      <c r="I42" s="89" t="b">
        <f>$I$19&gt;=F42*0.25</f>
        <v>1</v>
      </c>
      <c r="J42" s="89" t="b">
        <f>$J$19&gt;=F42*0.25</f>
        <v>1</v>
      </c>
      <c r="K42" s="89" t="b">
        <f>$K$19&gt;=F42*0.25</f>
        <v>1</v>
      </c>
    </row>
    <row r="43" spans="1:11" ht="15.75" thickBot="1" x14ac:dyDescent="0.3">
      <c r="A43" s="86">
        <v>38</v>
      </c>
      <c r="B43" s="86" t="s">
        <v>140</v>
      </c>
      <c r="C43" s="86" t="s">
        <v>148</v>
      </c>
      <c r="D43" s="86">
        <v>1991</v>
      </c>
      <c r="E43" s="86">
        <v>80</v>
      </c>
      <c r="F43" s="87">
        <v>3500</v>
      </c>
      <c r="G43" s="88" t="s">
        <v>161</v>
      </c>
      <c r="H43" s="89" t="b">
        <f>$H$19&gt;=F43*0.25</f>
        <v>0</v>
      </c>
      <c r="I43" s="89" t="b">
        <f>$I$19&gt;=F43*0.25</f>
        <v>1</v>
      </c>
      <c r="J43" s="89" t="b">
        <f>$J$19&gt;=F43*0.25</f>
        <v>1</v>
      </c>
      <c r="K43" s="89" t="b">
        <f>$K$19&gt;=F43*0.25</f>
        <v>1</v>
      </c>
    </row>
    <row r="44" spans="1:11" ht="15.75" thickBot="1" x14ac:dyDescent="0.3">
      <c r="A44" s="86">
        <v>47</v>
      </c>
      <c r="B44" s="86" t="s">
        <v>140</v>
      </c>
      <c r="C44" s="86" t="s">
        <v>148</v>
      </c>
      <c r="D44" s="86">
        <v>1992</v>
      </c>
      <c r="E44" s="86">
        <v>70</v>
      </c>
      <c r="F44" s="87">
        <v>3500</v>
      </c>
      <c r="G44" s="88" t="s">
        <v>172</v>
      </c>
      <c r="H44" s="89" t="b">
        <f>$H$19&gt;=F44*0.25</f>
        <v>0</v>
      </c>
      <c r="I44" s="89" t="b">
        <f>$I$19&gt;=F44*0.25</f>
        <v>1</v>
      </c>
      <c r="J44" s="89" t="b">
        <f>$J$19&gt;=F44*0.25</f>
        <v>1</v>
      </c>
      <c r="K44" s="89" t="b">
        <f>$K$19&gt;=F44*0.25</f>
        <v>1</v>
      </c>
    </row>
    <row r="45" spans="1:11" ht="15.75" thickBot="1" x14ac:dyDescent="0.3">
      <c r="A45" s="86">
        <v>60</v>
      </c>
      <c r="B45" s="86" t="s">
        <v>140</v>
      </c>
      <c r="C45" s="86" t="s">
        <v>116</v>
      </c>
      <c r="D45" s="86">
        <v>1991</v>
      </c>
      <c r="E45" s="86">
        <v>76</v>
      </c>
      <c r="F45" s="87">
        <v>3500</v>
      </c>
      <c r="G45" s="88" t="s">
        <v>188</v>
      </c>
      <c r="H45" s="89" t="b">
        <f>$H$19&gt;=F45*0.25</f>
        <v>0</v>
      </c>
      <c r="I45" s="89" t="b">
        <f>$I$19&gt;=F45*0.25</f>
        <v>1</v>
      </c>
      <c r="J45" s="89" t="b">
        <f>$J$19&gt;=F45*0.25</f>
        <v>1</v>
      </c>
      <c r="K45" s="89" t="b">
        <f>$K$19&gt;=F45*0.25</f>
        <v>1</v>
      </c>
    </row>
    <row r="46" spans="1:11" ht="15.75" thickBot="1" x14ac:dyDescent="0.3">
      <c r="A46" s="86">
        <v>63</v>
      </c>
      <c r="B46" s="86" t="s">
        <v>189</v>
      </c>
      <c r="C46" s="86" t="s">
        <v>129</v>
      </c>
      <c r="D46" s="86">
        <v>1991</v>
      </c>
      <c r="E46" s="86">
        <v>55</v>
      </c>
      <c r="F46" s="87">
        <v>3500</v>
      </c>
      <c r="G46" s="88" t="s">
        <v>192</v>
      </c>
      <c r="H46" s="89" t="b">
        <f>$H$19&gt;=F46*0.25</f>
        <v>0</v>
      </c>
      <c r="I46" s="89" t="b">
        <f>$I$19&gt;=F46*0.25</f>
        <v>1</v>
      </c>
      <c r="J46" s="89" t="b">
        <f>$J$19&gt;=F46*0.25</f>
        <v>1</v>
      </c>
      <c r="K46" s="89" t="b">
        <f>$K$19&gt;=F46*0.25</f>
        <v>1</v>
      </c>
    </row>
    <row r="47" spans="1:11" ht="15.75" thickBot="1" x14ac:dyDescent="0.3">
      <c r="A47" s="86">
        <v>81</v>
      </c>
      <c r="B47" s="86" t="s">
        <v>189</v>
      </c>
      <c r="C47" s="86" t="s">
        <v>116</v>
      </c>
      <c r="D47" s="86">
        <v>1991</v>
      </c>
      <c r="E47" s="86">
        <v>45</v>
      </c>
      <c r="F47" s="87">
        <v>3500</v>
      </c>
      <c r="G47" s="88" t="s">
        <v>210</v>
      </c>
      <c r="H47" s="89" t="b">
        <f>$H$19&gt;=F47*0.25</f>
        <v>0</v>
      </c>
      <c r="I47" s="89" t="b">
        <f>$I$19&gt;=F47*0.25</f>
        <v>1</v>
      </c>
      <c r="J47" s="89" t="b">
        <f>$J$19&gt;=F47*0.25</f>
        <v>1</v>
      </c>
      <c r="K47" s="89" t="b">
        <f>$K$19&gt;=F47*0.25</f>
        <v>1</v>
      </c>
    </row>
    <row r="48" spans="1:11" ht="15.75" thickBot="1" x14ac:dyDescent="0.3">
      <c r="A48" s="86">
        <v>82</v>
      </c>
      <c r="B48" s="86" t="s">
        <v>189</v>
      </c>
      <c r="C48" s="86" t="s">
        <v>116</v>
      </c>
      <c r="D48" s="86">
        <v>1991</v>
      </c>
      <c r="E48" s="86">
        <v>76</v>
      </c>
      <c r="F48" s="87">
        <v>3500</v>
      </c>
      <c r="G48" s="88" t="s">
        <v>211</v>
      </c>
      <c r="H48" s="89" t="b">
        <f>$H$19&gt;=F48*0.25</f>
        <v>0</v>
      </c>
      <c r="I48" s="89" t="b">
        <f>$I$19&gt;=F48*0.25</f>
        <v>1</v>
      </c>
      <c r="J48" s="89" t="b">
        <f>$J$19&gt;=F48*0.25</f>
        <v>1</v>
      </c>
      <c r="K48" s="89" t="b">
        <f>$K$19&gt;=F48*0.25</f>
        <v>1</v>
      </c>
    </row>
    <row r="49" spans="1:11" ht="15.75" thickBot="1" x14ac:dyDescent="0.3">
      <c r="A49" s="86">
        <v>5</v>
      </c>
      <c r="B49" s="86" t="s">
        <v>109</v>
      </c>
      <c r="C49" s="86" t="s">
        <v>116</v>
      </c>
      <c r="D49" s="86">
        <v>1992</v>
      </c>
      <c r="E49" s="86">
        <v>61</v>
      </c>
      <c r="F49" s="87">
        <v>3600</v>
      </c>
      <c r="G49" s="88" t="s">
        <v>118</v>
      </c>
      <c r="H49" s="89" t="b">
        <f>$H$19&gt;=F49*0.25</f>
        <v>0</v>
      </c>
      <c r="I49" s="89" t="b">
        <f>$I$19&gt;=F49*0.25</f>
        <v>1</v>
      </c>
      <c r="J49" s="89" t="b">
        <f>$J$19&gt;=F49*0.25</f>
        <v>1</v>
      </c>
      <c r="K49" s="89" t="b">
        <f>$K$19&gt;=F49*0.25</f>
        <v>1</v>
      </c>
    </row>
    <row r="50" spans="1:11" ht="15.75" thickBot="1" x14ac:dyDescent="0.3">
      <c r="A50" s="86">
        <v>9</v>
      </c>
      <c r="B50" s="86" t="s">
        <v>109</v>
      </c>
      <c r="C50" s="86" t="s">
        <v>116</v>
      </c>
      <c r="D50" s="86">
        <v>1992</v>
      </c>
      <c r="E50" s="86">
        <v>77</v>
      </c>
      <c r="F50" s="87">
        <v>3600</v>
      </c>
      <c r="G50" s="88" t="s">
        <v>123</v>
      </c>
      <c r="H50" s="89" t="b">
        <f>$H$19&gt;=F50*0.25</f>
        <v>0</v>
      </c>
      <c r="I50" s="89" t="b">
        <f>$I$19&gt;=F50*0.25</f>
        <v>1</v>
      </c>
      <c r="J50" s="89" t="b">
        <f>$J$19&gt;=F50*0.25</f>
        <v>1</v>
      </c>
      <c r="K50" s="89" t="b">
        <f>$K$19&gt;=F50*0.25</f>
        <v>1</v>
      </c>
    </row>
    <row r="51" spans="1:11" ht="15.75" thickBot="1" x14ac:dyDescent="0.3">
      <c r="A51" s="86">
        <v>37</v>
      </c>
      <c r="B51" s="86" t="s">
        <v>140</v>
      </c>
      <c r="C51" s="86" t="s">
        <v>124</v>
      </c>
      <c r="D51" s="86">
        <v>1991</v>
      </c>
      <c r="E51" s="86">
        <v>86</v>
      </c>
      <c r="F51" s="87">
        <v>3600</v>
      </c>
      <c r="G51" s="88" t="s">
        <v>160</v>
      </c>
      <c r="H51" s="89" t="b">
        <f>$H$19&gt;=F51*0.25</f>
        <v>0</v>
      </c>
      <c r="I51" s="89" t="b">
        <f>$I$19&gt;=F51*0.25</f>
        <v>1</v>
      </c>
      <c r="J51" s="89" t="b">
        <f>$J$19&gt;=F51*0.25</f>
        <v>1</v>
      </c>
      <c r="K51" s="89" t="b">
        <f>$K$19&gt;=F51*0.25</f>
        <v>1</v>
      </c>
    </row>
    <row r="52" spans="1:11" ht="15.75" thickBot="1" x14ac:dyDescent="0.3">
      <c r="A52" s="86">
        <v>42</v>
      </c>
      <c r="B52" s="86" t="s">
        <v>140</v>
      </c>
      <c r="C52" s="86" t="s">
        <v>124</v>
      </c>
      <c r="D52" s="86">
        <v>1991</v>
      </c>
      <c r="E52" s="86">
        <v>69</v>
      </c>
      <c r="F52" s="87">
        <v>3600</v>
      </c>
      <c r="G52" s="88" t="s">
        <v>166</v>
      </c>
      <c r="H52" s="89" t="b">
        <f>$H$19&gt;=F52*0.25</f>
        <v>0</v>
      </c>
      <c r="I52" s="89" t="b">
        <f>$I$19&gt;=F52*0.25</f>
        <v>1</v>
      </c>
      <c r="J52" s="89" t="b">
        <f>$J$19&gt;=F52*0.25</f>
        <v>1</v>
      </c>
      <c r="K52" s="89" t="b">
        <f>$K$19&gt;=F52*0.25</f>
        <v>1</v>
      </c>
    </row>
    <row r="53" spans="1:11" ht="15.75" thickBot="1" x14ac:dyDescent="0.3">
      <c r="A53" s="86">
        <v>3</v>
      </c>
      <c r="B53" s="86" t="s">
        <v>109</v>
      </c>
      <c r="C53" s="86" t="s">
        <v>114</v>
      </c>
      <c r="D53" s="86">
        <v>1992</v>
      </c>
      <c r="E53" s="86">
        <v>47</v>
      </c>
      <c r="F53" s="87">
        <v>3700</v>
      </c>
      <c r="G53" s="88" t="s">
        <v>115</v>
      </c>
      <c r="H53" s="89" t="b">
        <f>$H$19&gt;=F53*0.25</f>
        <v>0</v>
      </c>
      <c r="I53" s="89" t="b">
        <f>$I$19&gt;=F53*0.25</f>
        <v>1</v>
      </c>
      <c r="J53" s="89" t="b">
        <f>$J$19&gt;=F53*0.25</f>
        <v>1</v>
      </c>
      <c r="K53" s="89" t="b">
        <f>$K$19&gt;=F53*0.25</f>
        <v>1</v>
      </c>
    </row>
    <row r="54" spans="1:11" ht="15.75" thickBot="1" x14ac:dyDescent="0.3">
      <c r="A54" s="86">
        <v>14</v>
      </c>
      <c r="B54" s="86" t="s">
        <v>109</v>
      </c>
      <c r="C54" s="86" t="s">
        <v>116</v>
      </c>
      <c r="D54" s="86">
        <v>1993</v>
      </c>
      <c r="E54" s="86">
        <v>40</v>
      </c>
      <c r="F54" s="87">
        <v>3700</v>
      </c>
      <c r="G54" s="88" t="s">
        <v>131</v>
      </c>
      <c r="H54" s="89" t="b">
        <f>$H$19&gt;=F54*0.25</f>
        <v>0</v>
      </c>
      <c r="I54" s="89" t="b">
        <f>$I$19&gt;=F54*0.25</f>
        <v>1</v>
      </c>
      <c r="J54" s="89" t="b">
        <f>$J$19&gt;=F54*0.25</f>
        <v>1</v>
      </c>
      <c r="K54" s="89" t="b">
        <f>$K$19&gt;=F54*0.25</f>
        <v>1</v>
      </c>
    </row>
    <row r="55" spans="1:11" ht="15.75" thickBot="1" x14ac:dyDescent="0.3">
      <c r="A55" s="86">
        <v>40</v>
      </c>
      <c r="B55" s="86" t="s">
        <v>140</v>
      </c>
      <c r="C55" s="86" t="s">
        <v>148</v>
      </c>
      <c r="D55" s="86">
        <v>1993</v>
      </c>
      <c r="E55" s="86">
        <v>75</v>
      </c>
      <c r="F55" s="87">
        <v>3700</v>
      </c>
      <c r="G55" s="88" t="s">
        <v>163</v>
      </c>
      <c r="H55" s="89" t="b">
        <f>$H$19&gt;=F55*0.25</f>
        <v>0</v>
      </c>
      <c r="I55" s="89" t="b">
        <f>$I$19&gt;=F55*0.25</f>
        <v>1</v>
      </c>
      <c r="J55" s="89" t="b">
        <f>$J$19&gt;=F55*0.25</f>
        <v>1</v>
      </c>
      <c r="K55" s="89" t="b">
        <f>$K$19&gt;=F55*0.25</f>
        <v>1</v>
      </c>
    </row>
    <row r="56" spans="1:11" ht="15.75" thickBot="1" x14ac:dyDescent="0.3">
      <c r="A56" s="86">
        <v>52</v>
      </c>
      <c r="B56" s="86" t="s">
        <v>140</v>
      </c>
      <c r="C56" s="86" t="s">
        <v>114</v>
      </c>
      <c r="D56" s="86">
        <v>1991</v>
      </c>
      <c r="E56" s="86">
        <v>53</v>
      </c>
      <c r="F56" s="87">
        <v>3700</v>
      </c>
      <c r="G56" s="88" t="s">
        <v>177</v>
      </c>
      <c r="H56" s="89" t="b">
        <f>$H$19&gt;=F56*0.25</f>
        <v>0</v>
      </c>
      <c r="I56" s="89" t="b">
        <f>$I$19&gt;=F56*0.25</f>
        <v>1</v>
      </c>
      <c r="J56" s="89" t="b">
        <f>$J$19&gt;=F56*0.25</f>
        <v>1</v>
      </c>
      <c r="K56" s="89" t="b">
        <f>$K$19&gt;=F56*0.25</f>
        <v>1</v>
      </c>
    </row>
    <row r="57" spans="1:11" ht="15.75" thickBot="1" x14ac:dyDescent="0.3">
      <c r="A57" s="86">
        <v>73</v>
      </c>
      <c r="B57" s="86" t="s">
        <v>140</v>
      </c>
      <c r="C57" s="86" t="s">
        <v>114</v>
      </c>
      <c r="D57" s="86">
        <v>1991</v>
      </c>
      <c r="E57" s="86">
        <v>53</v>
      </c>
      <c r="F57" s="87">
        <v>3700</v>
      </c>
      <c r="G57" s="88" t="s">
        <v>202</v>
      </c>
      <c r="H57" s="89" t="b">
        <f>$H$19&gt;=F57*0.25</f>
        <v>0</v>
      </c>
      <c r="I57" s="89" t="b">
        <f>$I$19&gt;=F57*0.25</f>
        <v>1</v>
      </c>
      <c r="J57" s="89" t="b">
        <f>$J$19&gt;=F57*0.25</f>
        <v>1</v>
      </c>
      <c r="K57" s="89" t="b">
        <f>$K$19&gt;=F57*0.25</f>
        <v>1</v>
      </c>
    </row>
    <row r="58" spans="1:11" ht="15.75" thickBot="1" x14ac:dyDescent="0.3">
      <c r="A58" s="86">
        <v>8</v>
      </c>
      <c r="B58" s="86" t="s">
        <v>109</v>
      </c>
      <c r="C58" s="86" t="s">
        <v>112</v>
      </c>
      <c r="D58" s="86">
        <v>1992</v>
      </c>
      <c r="E58" s="86">
        <v>65</v>
      </c>
      <c r="F58" s="87">
        <v>3800</v>
      </c>
      <c r="G58" s="88" t="s">
        <v>122</v>
      </c>
      <c r="H58" s="89" t="b">
        <f>$H$19&gt;=F58*0.25</f>
        <v>0</v>
      </c>
      <c r="I58" s="89" t="b">
        <f>$I$19&gt;=F58*0.25</f>
        <v>1</v>
      </c>
      <c r="J58" s="89" t="b">
        <f>$J$19&gt;=F58*0.25</f>
        <v>1</v>
      </c>
      <c r="K58" s="89" t="b">
        <f>$K$19&gt;=F58*0.25</f>
        <v>1</v>
      </c>
    </row>
    <row r="59" spans="1:11" ht="15.75" thickBot="1" x14ac:dyDescent="0.3">
      <c r="A59" s="86">
        <v>18</v>
      </c>
      <c r="B59" s="86" t="s">
        <v>109</v>
      </c>
      <c r="C59" s="86" t="s">
        <v>135</v>
      </c>
      <c r="D59" s="86">
        <v>1993</v>
      </c>
      <c r="E59" s="86">
        <v>40</v>
      </c>
      <c r="F59" s="87">
        <v>3800</v>
      </c>
      <c r="G59" s="88" t="s">
        <v>136</v>
      </c>
      <c r="H59" s="89" t="b">
        <f>$H$19&gt;=F59*0.25</f>
        <v>0</v>
      </c>
      <c r="I59" s="89" t="b">
        <f>$I$19&gt;=F59*0.25</f>
        <v>1</v>
      </c>
      <c r="J59" s="89" t="b">
        <f>$J$19&gt;=F59*0.25</f>
        <v>1</v>
      </c>
      <c r="K59" s="89" t="b">
        <f>$K$19&gt;=F59*0.25</f>
        <v>1</v>
      </c>
    </row>
    <row r="60" spans="1:11" ht="15.75" thickBot="1" x14ac:dyDescent="0.3">
      <c r="A60" s="86">
        <v>25</v>
      </c>
      <c r="B60" s="86" t="s">
        <v>140</v>
      </c>
      <c r="C60" s="86" t="s">
        <v>141</v>
      </c>
      <c r="D60" s="86">
        <v>1991</v>
      </c>
      <c r="E60" s="86">
        <v>86</v>
      </c>
      <c r="F60" s="87">
        <v>3800</v>
      </c>
      <c r="G60" s="88" t="s">
        <v>145</v>
      </c>
      <c r="H60" s="89" t="b">
        <f>$H$19&gt;=F60*0.25</f>
        <v>0</v>
      </c>
      <c r="I60" s="89" t="b">
        <f>$I$19&gt;=F60*0.25</f>
        <v>1</v>
      </c>
      <c r="J60" s="89" t="b">
        <f>$J$19&gt;=F60*0.25</f>
        <v>1</v>
      </c>
      <c r="K60" s="89" t="b">
        <f>$K$19&gt;=F60*0.25</f>
        <v>1</v>
      </c>
    </row>
    <row r="61" spans="1:11" ht="15.75" thickBot="1" x14ac:dyDescent="0.3">
      <c r="A61" s="86">
        <v>26</v>
      </c>
      <c r="B61" s="86" t="s">
        <v>140</v>
      </c>
      <c r="C61" s="86" t="s">
        <v>116</v>
      </c>
      <c r="D61" s="86">
        <v>1993</v>
      </c>
      <c r="E61" s="86">
        <v>93</v>
      </c>
      <c r="F61" s="87">
        <v>3800</v>
      </c>
      <c r="G61" s="88" t="s">
        <v>146</v>
      </c>
      <c r="H61" s="89" t="b">
        <f>$H$19&gt;=F61*0.25</f>
        <v>0</v>
      </c>
      <c r="I61" s="89" t="b">
        <f>$I$19&gt;=F61*0.25</f>
        <v>1</v>
      </c>
      <c r="J61" s="89" t="b">
        <f>$J$19&gt;=F61*0.25</f>
        <v>1</v>
      </c>
      <c r="K61" s="89" t="b">
        <f>$K$19&gt;=F61*0.25</f>
        <v>1</v>
      </c>
    </row>
    <row r="62" spans="1:11" ht="15.75" thickBot="1" x14ac:dyDescent="0.3">
      <c r="A62" s="86">
        <v>41</v>
      </c>
      <c r="B62" s="86" t="s">
        <v>140</v>
      </c>
      <c r="C62" s="86" t="s">
        <v>164</v>
      </c>
      <c r="D62" s="86">
        <v>1990</v>
      </c>
      <c r="E62" s="86">
        <v>88</v>
      </c>
      <c r="F62" s="87">
        <v>3800</v>
      </c>
      <c r="G62" s="88" t="s">
        <v>165</v>
      </c>
      <c r="H62" s="89" t="b">
        <f>$H$19&gt;=F62*0.25</f>
        <v>0</v>
      </c>
      <c r="I62" s="89" t="b">
        <f>$I$19&gt;=F62*0.25</f>
        <v>1</v>
      </c>
      <c r="J62" s="89" t="b">
        <f>$J$19&gt;=F62*0.25</f>
        <v>1</v>
      </c>
      <c r="K62" s="89" t="b">
        <f>$K$19&gt;=F62*0.25</f>
        <v>1</v>
      </c>
    </row>
    <row r="63" spans="1:11" ht="15.75" thickBot="1" x14ac:dyDescent="0.3">
      <c r="A63" s="86">
        <v>43</v>
      </c>
      <c r="B63" s="86" t="s">
        <v>140</v>
      </c>
      <c r="C63" s="86" t="s">
        <v>167</v>
      </c>
      <c r="D63" s="86">
        <v>1992</v>
      </c>
      <c r="E63" s="86">
        <v>62</v>
      </c>
      <c r="F63" s="87">
        <v>3800</v>
      </c>
      <c r="G63" s="88" t="s">
        <v>168</v>
      </c>
      <c r="H63" s="89" t="b">
        <f>$H$19&gt;=F63*0.25</f>
        <v>0</v>
      </c>
      <c r="I63" s="89" t="b">
        <f>$I$19&gt;=F63*0.25</f>
        <v>1</v>
      </c>
      <c r="J63" s="89" t="b">
        <f>$J$19&gt;=F63*0.25</f>
        <v>1</v>
      </c>
      <c r="K63" s="89" t="b">
        <f>$K$19&gt;=F63*0.25</f>
        <v>1</v>
      </c>
    </row>
    <row r="64" spans="1:11" ht="15.75" thickBot="1" x14ac:dyDescent="0.3">
      <c r="A64" s="86">
        <v>45</v>
      </c>
      <c r="B64" s="86" t="s">
        <v>140</v>
      </c>
      <c r="C64" s="86" t="s">
        <v>114</v>
      </c>
      <c r="D64" s="86">
        <v>1993</v>
      </c>
      <c r="E64" s="86">
        <v>85</v>
      </c>
      <c r="F64" s="87">
        <v>3800</v>
      </c>
      <c r="G64" s="88" t="s">
        <v>170</v>
      </c>
      <c r="H64" s="89" t="b">
        <f>$H$19&gt;=F64*0.25</f>
        <v>0</v>
      </c>
      <c r="I64" s="89" t="b">
        <f>$I$19&gt;=F64*0.25</f>
        <v>1</v>
      </c>
      <c r="J64" s="89" t="b">
        <f>$J$19&gt;=F64*0.25</f>
        <v>1</v>
      </c>
      <c r="K64" s="89" t="b">
        <f>$K$19&gt;=F64*0.25</f>
        <v>1</v>
      </c>
    </row>
    <row r="65" spans="1:11" ht="15.75" thickBot="1" x14ac:dyDescent="0.3">
      <c r="A65" s="86">
        <v>49</v>
      </c>
      <c r="B65" s="86" t="s">
        <v>140</v>
      </c>
      <c r="C65" s="86" t="s">
        <v>114</v>
      </c>
      <c r="D65" s="86">
        <v>1992</v>
      </c>
      <c r="E65" s="86">
        <v>70</v>
      </c>
      <c r="F65" s="87">
        <v>3800</v>
      </c>
      <c r="G65" s="88" t="s">
        <v>174</v>
      </c>
      <c r="H65" s="89" t="b">
        <f>$H$19&gt;=F65*0.25</f>
        <v>0</v>
      </c>
      <c r="I65" s="89" t="b">
        <f>$I$19&gt;=F65*0.25</f>
        <v>1</v>
      </c>
      <c r="J65" s="89" t="b">
        <f>$J$19&gt;=F65*0.25</f>
        <v>1</v>
      </c>
      <c r="K65" s="89" t="b">
        <f>$K$19&gt;=F65*0.25</f>
        <v>1</v>
      </c>
    </row>
    <row r="66" spans="1:11" ht="15.75" thickBot="1" x14ac:dyDescent="0.3">
      <c r="A66" s="86">
        <v>53</v>
      </c>
      <c r="B66" s="86" t="s">
        <v>140</v>
      </c>
      <c r="C66" s="86" t="s">
        <v>178</v>
      </c>
      <c r="D66" s="86">
        <v>1991</v>
      </c>
      <c r="E66" s="86">
        <v>77</v>
      </c>
      <c r="F66" s="87">
        <v>3800</v>
      </c>
      <c r="G66" s="88" t="s">
        <v>179</v>
      </c>
      <c r="H66" s="89" t="b">
        <f>$H$19&gt;=F66*0.25</f>
        <v>0</v>
      </c>
      <c r="I66" s="89" t="b">
        <f>$I$19&gt;=F66*0.25</f>
        <v>1</v>
      </c>
      <c r="J66" s="89" t="b">
        <f>$J$19&gt;=F66*0.25</f>
        <v>1</v>
      </c>
      <c r="K66" s="89" t="b">
        <f>$K$19&gt;=F66*0.25</f>
        <v>1</v>
      </c>
    </row>
    <row r="67" spans="1:11" ht="15.75" thickBot="1" x14ac:dyDescent="0.3">
      <c r="A67" s="86">
        <v>58</v>
      </c>
      <c r="B67" s="86" t="s">
        <v>140</v>
      </c>
      <c r="C67" s="86" t="s">
        <v>116</v>
      </c>
      <c r="D67" s="86">
        <v>1993</v>
      </c>
      <c r="E67" s="86">
        <v>77</v>
      </c>
      <c r="F67" s="87">
        <v>3800</v>
      </c>
      <c r="G67" s="88" t="s">
        <v>186</v>
      </c>
      <c r="H67" s="89" t="b">
        <f>$H$19&gt;=F67*0.25</f>
        <v>0</v>
      </c>
      <c r="I67" s="89" t="b">
        <f>$I$19&gt;=F67*0.25</f>
        <v>1</v>
      </c>
      <c r="J67" s="89" t="b">
        <f>$J$19&gt;=F67*0.25</f>
        <v>1</v>
      </c>
      <c r="K67" s="89" t="b">
        <f>$K$19&gt;=F67*0.25</f>
        <v>1</v>
      </c>
    </row>
    <row r="68" spans="1:11" ht="15.75" thickBot="1" x14ac:dyDescent="0.3">
      <c r="A68" s="86">
        <v>64</v>
      </c>
      <c r="B68" s="86" t="s">
        <v>189</v>
      </c>
      <c r="C68" s="86" t="s">
        <v>167</v>
      </c>
      <c r="D68" s="86">
        <v>1992</v>
      </c>
      <c r="E68" s="86">
        <v>125</v>
      </c>
      <c r="F68" s="87">
        <v>3800</v>
      </c>
      <c r="G68" s="88" t="s">
        <v>193</v>
      </c>
      <c r="H68" s="89" t="b">
        <f>$H$19&gt;=F68*0.25</f>
        <v>0</v>
      </c>
      <c r="I68" s="89" t="b">
        <f>$I$19&gt;=F68*0.25</f>
        <v>1</v>
      </c>
      <c r="J68" s="89" t="b">
        <f>$J$19&gt;=F68*0.25</f>
        <v>1</v>
      </c>
      <c r="K68" s="89" t="b">
        <f>$K$19&gt;=F68*0.25</f>
        <v>1</v>
      </c>
    </row>
    <row r="69" spans="1:11" ht="15.75" thickBot="1" x14ac:dyDescent="0.3">
      <c r="A69" s="86">
        <v>66</v>
      </c>
      <c r="B69" s="86" t="s">
        <v>126</v>
      </c>
      <c r="C69" s="86" t="s">
        <v>114</v>
      </c>
      <c r="D69" s="86">
        <v>1993</v>
      </c>
      <c r="E69" s="86">
        <v>85</v>
      </c>
      <c r="F69" s="87">
        <v>3800</v>
      </c>
      <c r="G69" s="88" t="s">
        <v>195</v>
      </c>
      <c r="H69" s="89" t="b">
        <f>$H$19&gt;=F69*0.25</f>
        <v>0</v>
      </c>
      <c r="I69" s="89" t="b">
        <f>$I$19&gt;=F69*0.25</f>
        <v>1</v>
      </c>
      <c r="J69" s="89" t="b">
        <f>$J$19&gt;=F69*0.25</f>
        <v>1</v>
      </c>
      <c r="K69" s="89" t="b">
        <f>$K$19&gt;=F69*0.25</f>
        <v>1</v>
      </c>
    </row>
    <row r="70" spans="1:11" ht="15.75" thickBot="1" x14ac:dyDescent="0.3">
      <c r="A70" s="86">
        <v>70</v>
      </c>
      <c r="B70" s="86" t="s">
        <v>189</v>
      </c>
      <c r="C70" s="86" t="s">
        <v>114</v>
      </c>
      <c r="D70" s="86">
        <v>1992</v>
      </c>
      <c r="E70" s="86">
        <v>70</v>
      </c>
      <c r="F70" s="87">
        <v>3800</v>
      </c>
      <c r="G70" s="88" t="s">
        <v>199</v>
      </c>
      <c r="H70" s="89" t="b">
        <f>$H$19&gt;=F70*0.25</f>
        <v>0</v>
      </c>
      <c r="I70" s="89" t="b">
        <f>$I$19&gt;=F70*0.25</f>
        <v>1</v>
      </c>
      <c r="J70" s="89" t="b">
        <f>$J$19&gt;=F70*0.25</f>
        <v>1</v>
      </c>
      <c r="K70" s="89" t="b">
        <f>$K$19&gt;=F70*0.25</f>
        <v>1</v>
      </c>
    </row>
    <row r="71" spans="1:11" ht="15.75" thickBot="1" x14ac:dyDescent="0.3">
      <c r="A71" s="86">
        <v>79</v>
      </c>
      <c r="B71" s="86" t="s">
        <v>140</v>
      </c>
      <c r="C71" s="86" t="s">
        <v>116</v>
      </c>
      <c r="D71" s="86">
        <v>1993</v>
      </c>
      <c r="E71" s="86">
        <v>77</v>
      </c>
      <c r="F71" s="87">
        <v>3800</v>
      </c>
      <c r="G71" s="88" t="s">
        <v>208</v>
      </c>
      <c r="H71" s="89" t="b">
        <f>$H$19&gt;=F71*0.25</f>
        <v>0</v>
      </c>
      <c r="I71" s="89" t="b">
        <f>$I$19&gt;=F71*0.25</f>
        <v>1</v>
      </c>
      <c r="J71" s="89" t="b">
        <f>$J$19&gt;=F71*0.25</f>
        <v>1</v>
      </c>
      <c r="K71" s="89" t="b">
        <f>$K$19&gt;=F71*0.25</f>
        <v>1</v>
      </c>
    </row>
    <row r="72" spans="1:11" ht="15.75" thickBot="1" x14ac:dyDescent="0.3">
      <c r="A72" s="86">
        <v>20</v>
      </c>
      <c r="B72" s="86" t="s">
        <v>109</v>
      </c>
      <c r="C72" s="86" t="s">
        <v>116</v>
      </c>
      <c r="D72" s="86">
        <v>1992</v>
      </c>
      <c r="E72" s="86">
        <v>64</v>
      </c>
      <c r="F72" s="87">
        <v>3900</v>
      </c>
      <c r="G72" s="88" t="s">
        <v>138</v>
      </c>
      <c r="H72" s="89" t="b">
        <f>$H$19&gt;=F72*0.25</f>
        <v>0</v>
      </c>
      <c r="I72" s="89" t="b">
        <f>$I$19&gt;=F72*0.25</f>
        <v>0</v>
      </c>
      <c r="J72" s="89" t="b">
        <f>$J$19&gt;=F72*0.25</f>
        <v>1</v>
      </c>
      <c r="K72" s="89" t="b">
        <f>$K$19&gt;=F72*0.25</f>
        <v>1</v>
      </c>
    </row>
    <row r="73" spans="1:11" ht="15.75" thickBot="1" x14ac:dyDescent="0.3">
      <c r="A73" s="86">
        <v>44</v>
      </c>
      <c r="B73" s="86" t="s">
        <v>140</v>
      </c>
      <c r="C73" s="86" t="s">
        <v>148</v>
      </c>
      <c r="D73" s="86">
        <v>1992</v>
      </c>
      <c r="E73" s="86">
        <v>56</v>
      </c>
      <c r="F73" s="87">
        <v>3900</v>
      </c>
      <c r="G73" s="88" t="s">
        <v>169</v>
      </c>
      <c r="H73" s="89" t="b">
        <f>$H$19&gt;=F73*0.25</f>
        <v>0</v>
      </c>
      <c r="I73" s="89" t="b">
        <f>$I$19&gt;=F73*0.25</f>
        <v>0</v>
      </c>
      <c r="J73" s="89" t="b">
        <f>$J$19&gt;=F73*0.25</f>
        <v>1</v>
      </c>
      <c r="K73" s="89" t="b">
        <f>$K$19&gt;=F73*0.25</f>
        <v>1</v>
      </c>
    </row>
    <row r="74" spans="1:11" ht="15.75" thickBot="1" x14ac:dyDescent="0.3">
      <c r="A74" s="86">
        <v>51</v>
      </c>
      <c r="B74" s="86" t="s">
        <v>140</v>
      </c>
      <c r="C74" s="86" t="s">
        <v>148</v>
      </c>
      <c r="D74" s="86">
        <v>1991</v>
      </c>
      <c r="E74" s="86">
        <v>62</v>
      </c>
      <c r="F74" s="87">
        <v>3900</v>
      </c>
      <c r="G74" s="88" t="s">
        <v>176</v>
      </c>
      <c r="H74" s="89" t="b">
        <f>$H$19&gt;=F74*0.25</f>
        <v>0</v>
      </c>
      <c r="I74" s="89" t="b">
        <f>$I$19&gt;=F74*0.25</f>
        <v>0</v>
      </c>
      <c r="J74" s="89" t="b">
        <f>$J$19&gt;=F74*0.25</f>
        <v>1</v>
      </c>
      <c r="K74" s="89" t="b">
        <f>$K$19&gt;=F74*0.25</f>
        <v>1</v>
      </c>
    </row>
    <row r="75" spans="1:11" ht="15.75" thickBot="1" x14ac:dyDescent="0.3">
      <c r="A75" s="86">
        <v>72</v>
      </c>
      <c r="B75" s="86" t="s">
        <v>189</v>
      </c>
      <c r="C75" s="86" t="s">
        <v>148</v>
      </c>
      <c r="D75" s="86">
        <v>1991</v>
      </c>
      <c r="E75" s="86">
        <v>62</v>
      </c>
      <c r="F75" s="87">
        <v>3900</v>
      </c>
      <c r="G75" s="88" t="s">
        <v>201</v>
      </c>
      <c r="H75" s="89" t="b">
        <f>$H$19&gt;=F75*0.25</f>
        <v>0</v>
      </c>
      <c r="I75" s="89" t="b">
        <f>$I$19&gt;=F75*0.25</f>
        <v>0</v>
      </c>
      <c r="J75" s="89" t="b">
        <f>$J$19&gt;=F75*0.25</f>
        <v>1</v>
      </c>
      <c r="K75" s="89" t="b">
        <f>$K$19&gt;=F75*0.25</f>
        <v>1</v>
      </c>
    </row>
    <row r="76" spans="1:11" ht="15.75" thickBot="1" x14ac:dyDescent="0.3">
      <c r="A76" s="86">
        <v>6</v>
      </c>
      <c r="B76" s="86" t="s">
        <v>109</v>
      </c>
      <c r="C76" s="86" t="s">
        <v>116</v>
      </c>
      <c r="D76" s="86">
        <v>1992</v>
      </c>
      <c r="E76" s="86">
        <v>60</v>
      </c>
      <c r="F76" s="87">
        <v>4000</v>
      </c>
      <c r="G76" s="88" t="s">
        <v>119</v>
      </c>
      <c r="H76" s="89" t="b">
        <f>$H$19&gt;=F76*0.25</f>
        <v>0</v>
      </c>
      <c r="I76" s="89" t="b">
        <f>$I$19&gt;=F76*0.25</f>
        <v>0</v>
      </c>
      <c r="J76" s="89" t="b">
        <f>$J$19&gt;=F76*0.25</f>
        <v>1</v>
      </c>
      <c r="K76" s="89" t="b">
        <f>$K$19&gt;=F76*0.25</f>
        <v>1</v>
      </c>
    </row>
    <row r="77" spans="1:11" ht="15.75" thickBot="1" x14ac:dyDescent="0.3">
      <c r="A77" s="86">
        <v>13</v>
      </c>
      <c r="B77" s="86" t="s">
        <v>109</v>
      </c>
      <c r="C77" s="86" t="s">
        <v>129</v>
      </c>
      <c r="D77" s="86">
        <v>1993</v>
      </c>
      <c r="E77" s="86">
        <v>57</v>
      </c>
      <c r="F77" s="87">
        <v>4000</v>
      </c>
      <c r="G77" s="88" t="s">
        <v>130</v>
      </c>
      <c r="H77" s="89" t="b">
        <f>$H$19&gt;=F77*0.25</f>
        <v>0</v>
      </c>
      <c r="I77" s="89" t="b">
        <f>$I$19&gt;=F77*0.25</f>
        <v>0</v>
      </c>
      <c r="J77" s="89" t="b">
        <f>$J$19&gt;=F77*0.25</f>
        <v>1</v>
      </c>
      <c r="K77" s="89" t="b">
        <f>$K$19&gt;=F77*0.25</f>
        <v>1</v>
      </c>
    </row>
    <row r="78" spans="1:11" ht="15.75" thickBot="1" x14ac:dyDescent="0.3">
      <c r="A78" s="86">
        <v>19</v>
      </c>
      <c r="B78" s="86" t="s">
        <v>126</v>
      </c>
      <c r="C78" s="86" t="s">
        <v>116</v>
      </c>
      <c r="D78" s="86">
        <v>1994</v>
      </c>
      <c r="E78" s="86">
        <v>50</v>
      </c>
      <c r="F78" s="87">
        <v>4000</v>
      </c>
      <c r="G78" s="88" t="s">
        <v>137</v>
      </c>
      <c r="H78" s="89" t="b">
        <f>$H$19&gt;=F78*0.25</f>
        <v>0</v>
      </c>
      <c r="I78" s="89" t="b">
        <f>$I$19&gt;=F78*0.25</f>
        <v>0</v>
      </c>
      <c r="J78" s="89" t="b">
        <f>$J$19&gt;=F78*0.25</f>
        <v>1</v>
      </c>
      <c r="K78" s="89" t="b">
        <f>$K$19&gt;=F78*0.25</f>
        <v>1</v>
      </c>
    </row>
    <row r="79" spans="1:11" ht="15.75" thickBot="1" x14ac:dyDescent="0.3">
      <c r="A79" s="86">
        <v>35</v>
      </c>
      <c r="B79" s="86" t="s">
        <v>140</v>
      </c>
      <c r="C79" s="86" t="s">
        <v>148</v>
      </c>
      <c r="D79" s="86">
        <v>1992</v>
      </c>
      <c r="E79" s="86">
        <v>76</v>
      </c>
      <c r="F79" s="87">
        <v>4000</v>
      </c>
      <c r="G79" s="88" t="s">
        <v>158</v>
      </c>
      <c r="H79" s="89" t="b">
        <f>$H$19&gt;=F79*0.25</f>
        <v>0</v>
      </c>
      <c r="I79" s="89" t="b">
        <f>$I$19&gt;=F79*0.25</f>
        <v>0</v>
      </c>
      <c r="J79" s="89" t="b">
        <f>$J$19&gt;=F79*0.25</f>
        <v>1</v>
      </c>
      <c r="K79" s="89" t="b">
        <f>$K$19&gt;=F79*0.25</f>
        <v>1</v>
      </c>
    </row>
    <row r="80" spans="1:11" ht="15.75" thickBot="1" x14ac:dyDescent="0.3">
      <c r="A80" s="86">
        <v>39</v>
      </c>
      <c r="B80" s="86" t="s">
        <v>140</v>
      </c>
      <c r="C80" s="86" t="s">
        <v>129</v>
      </c>
      <c r="D80" s="86">
        <v>1992</v>
      </c>
      <c r="E80" s="86">
        <v>54</v>
      </c>
      <c r="F80" s="87">
        <v>4000</v>
      </c>
      <c r="G80" s="88" t="s">
        <v>162</v>
      </c>
      <c r="H80" s="89" t="b">
        <f>$H$19&gt;=F80*0.25</f>
        <v>0</v>
      </c>
      <c r="I80" s="89" t="b">
        <f>$I$19&gt;=F80*0.25</f>
        <v>0</v>
      </c>
      <c r="J80" s="89" t="b">
        <f>$J$19&gt;=F80*0.25</f>
        <v>1</v>
      </c>
      <c r="K80" s="89" t="b">
        <f>$K$19&gt;=F80*0.25</f>
        <v>1</v>
      </c>
    </row>
    <row r="81" spans="1:11" ht="15.75" thickBot="1" x14ac:dyDescent="0.3">
      <c r="A81" s="86">
        <v>59</v>
      </c>
      <c r="B81" s="86" t="s">
        <v>126</v>
      </c>
      <c r="C81" s="86" t="s">
        <v>148</v>
      </c>
      <c r="D81" s="86">
        <v>1992</v>
      </c>
      <c r="E81" s="86">
        <v>58</v>
      </c>
      <c r="F81" s="87">
        <v>4000</v>
      </c>
      <c r="G81" s="88" t="s">
        <v>187</v>
      </c>
      <c r="H81" s="89" t="b">
        <f>$H$19&gt;=F81*0.25</f>
        <v>0</v>
      </c>
      <c r="I81" s="89" t="b">
        <f>$I$19&gt;=F81*0.25</f>
        <v>0</v>
      </c>
      <c r="J81" s="89" t="b">
        <f>$J$19&gt;=F81*0.25</f>
        <v>1</v>
      </c>
      <c r="K81" s="89" t="b">
        <f>$K$19&gt;=F81*0.25</f>
        <v>1</v>
      </c>
    </row>
    <row r="82" spans="1:11" ht="15.75" thickBot="1" x14ac:dyDescent="0.3">
      <c r="A82" s="86">
        <v>27</v>
      </c>
      <c r="B82" s="86" t="s">
        <v>140</v>
      </c>
      <c r="C82" s="86" t="s">
        <v>116</v>
      </c>
      <c r="D82" s="86">
        <v>1994</v>
      </c>
      <c r="E82" s="86">
        <v>30</v>
      </c>
      <c r="F82" s="87">
        <v>4100</v>
      </c>
      <c r="G82" s="88" t="s">
        <v>147</v>
      </c>
      <c r="H82" s="89" t="b">
        <f>$H$19&gt;=F82*0.25</f>
        <v>0</v>
      </c>
      <c r="I82" s="89" t="b">
        <f>$I$19&gt;=F82*0.25</f>
        <v>0</v>
      </c>
      <c r="J82" s="89" t="b">
        <f>$J$19&gt;=F82*0.25</f>
        <v>0</v>
      </c>
      <c r="K82" s="89" t="b">
        <f>$K$19&gt;=F82*0.25</f>
        <v>1</v>
      </c>
    </row>
    <row r="83" spans="1:11" ht="15.75" thickBot="1" x14ac:dyDescent="0.3">
      <c r="A83" s="86">
        <v>12</v>
      </c>
      <c r="B83" s="86" t="s">
        <v>109</v>
      </c>
      <c r="C83" s="86" t="s">
        <v>116</v>
      </c>
      <c r="D83" s="86">
        <v>1993</v>
      </c>
      <c r="E83" s="86">
        <v>32</v>
      </c>
      <c r="F83" s="87">
        <v>4200</v>
      </c>
      <c r="G83" s="88" t="s">
        <v>128</v>
      </c>
      <c r="H83" s="89" t="b">
        <f>$H$19&gt;=F83*0.25</f>
        <v>0</v>
      </c>
      <c r="I83" s="89" t="b">
        <f>$I$19&gt;=F83*0.25</f>
        <v>0</v>
      </c>
      <c r="J83" s="89" t="b">
        <f>$J$19&gt;=F83*0.25</f>
        <v>0</v>
      </c>
      <c r="K83" s="89" t="b">
        <f>$K$19&gt;=F83*0.25</f>
        <v>1</v>
      </c>
    </row>
    <row r="84" spans="1:11" ht="15.75" thickBot="1" x14ac:dyDescent="0.3">
      <c r="A84" s="86">
        <v>34</v>
      </c>
      <c r="B84" s="86" t="s">
        <v>140</v>
      </c>
      <c r="C84" s="86" t="s">
        <v>156</v>
      </c>
      <c r="D84" s="86">
        <v>1992</v>
      </c>
      <c r="E84" s="86">
        <v>45</v>
      </c>
      <c r="F84" s="87">
        <v>4200</v>
      </c>
      <c r="G84" s="88" t="s">
        <v>157</v>
      </c>
      <c r="H84" s="89" t="b">
        <f>$H$19&gt;=F84*0.25</f>
        <v>0</v>
      </c>
      <c r="I84" s="89" t="b">
        <f>$I$19&gt;=F84*0.25</f>
        <v>0</v>
      </c>
      <c r="J84" s="89" t="b">
        <f>$J$19&gt;=F84*0.25</f>
        <v>0</v>
      </c>
      <c r="K84" s="89" t="b">
        <f>$K$19&gt;=F84*0.25</f>
        <v>1</v>
      </c>
    </row>
    <row r="85" spans="1:11" ht="15.75" thickBot="1" x14ac:dyDescent="0.3">
      <c r="A85" s="86">
        <v>7</v>
      </c>
      <c r="B85" s="86" t="s">
        <v>109</v>
      </c>
      <c r="C85" s="86" t="s">
        <v>120</v>
      </c>
      <c r="D85" s="86">
        <v>1994</v>
      </c>
      <c r="E85" s="86">
        <v>27</v>
      </c>
      <c r="F85" s="87">
        <v>4300</v>
      </c>
      <c r="G85" s="88" t="s">
        <v>121</v>
      </c>
      <c r="H85" s="89" t="b">
        <f>$H$19&gt;=F85*0.25</f>
        <v>0</v>
      </c>
      <c r="I85" s="89" t="b">
        <f>$I$19&gt;=F85*0.25</f>
        <v>0</v>
      </c>
      <c r="J85" s="89" t="b">
        <f>$J$19&gt;=F85*0.25</f>
        <v>0</v>
      </c>
      <c r="K85" s="89" t="b">
        <f>$K$19&gt;=F85*0.25</f>
        <v>1</v>
      </c>
    </row>
    <row r="86" spans="1:11" ht="15.75" thickBot="1" x14ac:dyDescent="0.3">
      <c r="A86" s="86">
        <v>24</v>
      </c>
      <c r="B86" s="86" t="s">
        <v>140</v>
      </c>
      <c r="C86" s="86" t="s">
        <v>124</v>
      </c>
      <c r="D86" s="86">
        <v>1994</v>
      </c>
      <c r="E86" s="86">
        <v>47</v>
      </c>
      <c r="F86" s="87">
        <v>4300</v>
      </c>
      <c r="G86" s="88" t="s">
        <v>144</v>
      </c>
      <c r="H86" s="89" t="b">
        <f>$H$19&gt;=F86*0.25</f>
        <v>0</v>
      </c>
      <c r="I86" s="89" t="b">
        <f>$I$19&gt;=F86*0.25</f>
        <v>0</v>
      </c>
      <c r="J86" s="89" t="b">
        <f>$J$19&gt;=F86*0.25</f>
        <v>0</v>
      </c>
      <c r="K86" s="89" t="b">
        <f>$K$19&gt;=F86*0.25</f>
        <v>1</v>
      </c>
    </row>
    <row r="87" spans="1:11" ht="15.75" thickBot="1" x14ac:dyDescent="0.3">
      <c r="A87" s="86">
        <v>28</v>
      </c>
      <c r="B87" s="86" t="s">
        <v>140</v>
      </c>
      <c r="C87" s="86" t="s">
        <v>148</v>
      </c>
      <c r="D87" s="86">
        <v>1994</v>
      </c>
      <c r="E87" s="86">
        <v>70</v>
      </c>
      <c r="F87" s="87">
        <v>4300</v>
      </c>
      <c r="G87" s="88" t="s">
        <v>149</v>
      </c>
      <c r="H87" s="89" t="b">
        <f>$H$19&gt;=F87*0.25</f>
        <v>0</v>
      </c>
      <c r="I87" s="89" t="b">
        <f>$I$19&gt;=F87*0.25</f>
        <v>0</v>
      </c>
      <c r="J87" s="89" t="b">
        <f>$J$19&gt;=F87*0.25</f>
        <v>0</v>
      </c>
      <c r="K87" s="89" t="b">
        <f>$K$19&gt;=F87*0.25</f>
        <v>1</v>
      </c>
    </row>
    <row r="88" spans="1:11" ht="15.75" thickBot="1" x14ac:dyDescent="0.3">
      <c r="A88" s="86">
        <v>30</v>
      </c>
      <c r="B88" s="86" t="s">
        <v>126</v>
      </c>
      <c r="C88" s="86" t="s">
        <v>148</v>
      </c>
      <c r="D88" s="86">
        <v>1992</v>
      </c>
      <c r="E88" s="86">
        <v>43</v>
      </c>
      <c r="F88" s="87">
        <v>4300</v>
      </c>
      <c r="G88" s="88" t="s">
        <v>151</v>
      </c>
      <c r="H88" s="89" t="b">
        <f>$H$19&gt;=F88*0.25</f>
        <v>0</v>
      </c>
      <c r="I88" s="89" t="b">
        <f>$I$19&gt;=F88*0.25</f>
        <v>0</v>
      </c>
      <c r="J88" s="89" t="b">
        <f>$J$19&gt;=F88*0.25</f>
        <v>0</v>
      </c>
      <c r="K88" s="89" t="b">
        <f>$K$19&gt;=F88*0.25</f>
        <v>1</v>
      </c>
    </row>
    <row r="89" spans="1:11" ht="15.75" thickBot="1" x14ac:dyDescent="0.3">
      <c r="A89" s="86">
        <v>36</v>
      </c>
      <c r="B89" s="86" t="s">
        <v>126</v>
      </c>
      <c r="C89" s="86" t="s">
        <v>148</v>
      </c>
      <c r="D89" s="86">
        <v>1993</v>
      </c>
      <c r="E89" s="86">
        <v>30</v>
      </c>
      <c r="F89" s="87">
        <v>4300</v>
      </c>
      <c r="G89" s="88" t="s">
        <v>159</v>
      </c>
      <c r="H89" s="89" t="b">
        <f>$H$19&gt;=F89*0.25</f>
        <v>0</v>
      </c>
      <c r="I89" s="89" t="b">
        <f>$I$19&gt;=F89*0.25</f>
        <v>0</v>
      </c>
      <c r="J89" s="89" t="b">
        <f>$J$19&gt;=F89*0.25</f>
        <v>0</v>
      </c>
      <c r="K89" s="89" t="b">
        <f>$K$19&gt;=F89*0.25</f>
        <v>1</v>
      </c>
    </row>
    <row r="90" spans="1:11" ht="15.75" thickBot="1" x14ac:dyDescent="0.3">
      <c r="A90" s="86">
        <v>62</v>
      </c>
      <c r="B90" s="86" t="s">
        <v>140</v>
      </c>
      <c r="C90" s="86" t="s">
        <v>114</v>
      </c>
      <c r="D90" s="86">
        <v>1992</v>
      </c>
      <c r="E90" s="86">
        <v>120</v>
      </c>
      <c r="F90" s="87">
        <v>4300</v>
      </c>
      <c r="G90" s="88" t="s">
        <v>191</v>
      </c>
      <c r="H90" s="89" t="b">
        <f>$H$19&gt;=F90*0.25</f>
        <v>0</v>
      </c>
      <c r="I90" s="89" t="b">
        <f>$I$19&gt;=F90*0.25</f>
        <v>0</v>
      </c>
      <c r="J90" s="89" t="b">
        <f>$J$19&gt;=F90*0.25</f>
        <v>0</v>
      </c>
      <c r="K90" s="89" t="b">
        <f>$K$19&gt;=F90*0.25</f>
        <v>1</v>
      </c>
    </row>
    <row r="91" spans="1:11" ht="15.75" thickBot="1" x14ac:dyDescent="0.3">
      <c r="A91" s="86">
        <v>65</v>
      </c>
      <c r="B91" s="86" t="s">
        <v>140</v>
      </c>
      <c r="C91" s="86" t="s">
        <v>148</v>
      </c>
      <c r="D91" s="86">
        <v>1992</v>
      </c>
      <c r="E91" s="86">
        <v>56</v>
      </c>
      <c r="F91" s="87">
        <v>4300</v>
      </c>
      <c r="G91" s="88" t="s">
        <v>194</v>
      </c>
      <c r="H91" s="89" t="b">
        <f>$H$19&gt;=F91*0.25</f>
        <v>0</v>
      </c>
      <c r="I91" s="89" t="b">
        <f>$I$19&gt;=F91*0.25</f>
        <v>0</v>
      </c>
      <c r="J91" s="89" t="b">
        <f>$J$19&gt;=F91*0.25</f>
        <v>0</v>
      </c>
      <c r="K91" s="89" t="b">
        <f>$K$19&gt;=F91*0.25</f>
        <v>1</v>
      </c>
    </row>
    <row r="92" spans="1:11" ht="15.75" thickBot="1" x14ac:dyDescent="0.3">
      <c r="A92" s="86">
        <v>71</v>
      </c>
      <c r="B92" s="86" t="s">
        <v>140</v>
      </c>
      <c r="C92" s="86" t="s">
        <v>164</v>
      </c>
      <c r="D92" s="86">
        <v>1990</v>
      </c>
      <c r="E92" s="86">
        <v>60</v>
      </c>
      <c r="F92" s="87">
        <v>4300</v>
      </c>
      <c r="G92" s="88" t="s">
        <v>200</v>
      </c>
      <c r="H92" s="89" t="b">
        <f>$H$19&gt;=F92*0.25</f>
        <v>0</v>
      </c>
      <c r="I92" s="89" t="b">
        <f>$I$19&gt;=F92*0.25</f>
        <v>0</v>
      </c>
      <c r="J92" s="89" t="b">
        <f>$J$19&gt;=F92*0.25</f>
        <v>0</v>
      </c>
      <c r="K92" s="89" t="b">
        <f>$K$19&gt;=F92*0.25</f>
        <v>1</v>
      </c>
    </row>
    <row r="93" spans="1:11" ht="15.75" thickBot="1" x14ac:dyDescent="0.3">
      <c r="A93" s="86">
        <v>74</v>
      </c>
      <c r="B93" s="86" t="s">
        <v>189</v>
      </c>
      <c r="C93" s="86" t="s">
        <v>178</v>
      </c>
      <c r="D93" s="86">
        <v>1991</v>
      </c>
      <c r="E93" s="86">
        <v>58</v>
      </c>
      <c r="F93" s="87">
        <v>4300</v>
      </c>
      <c r="G93" s="88" t="s">
        <v>203</v>
      </c>
      <c r="H93" s="89" t="b">
        <f>$H$19&gt;=F93*0.25</f>
        <v>0</v>
      </c>
      <c r="I93" s="89" t="b">
        <f>$I$19&gt;=F93*0.25</f>
        <v>0</v>
      </c>
      <c r="J93" s="89" t="b">
        <f>$J$19&gt;=F93*0.25</f>
        <v>0</v>
      </c>
      <c r="K93" s="89" t="b">
        <f>$K$19&gt;=F93*0.25</f>
        <v>1</v>
      </c>
    </row>
    <row r="94" spans="1:11" ht="15.75" thickBot="1" x14ac:dyDescent="0.3">
      <c r="A94" s="86">
        <v>77</v>
      </c>
      <c r="B94" s="86" t="s">
        <v>140</v>
      </c>
      <c r="C94" s="86" t="s">
        <v>114</v>
      </c>
      <c r="D94" s="86">
        <v>1992</v>
      </c>
      <c r="E94" s="86">
        <v>81</v>
      </c>
      <c r="F94" s="87">
        <v>4300</v>
      </c>
      <c r="G94" s="88" t="s">
        <v>206</v>
      </c>
      <c r="H94" s="89" t="b">
        <f>$H$19&gt;=F94*0.25</f>
        <v>0</v>
      </c>
      <c r="I94" s="89" t="b">
        <f>$I$19&gt;=F94*0.25</f>
        <v>0</v>
      </c>
      <c r="J94" s="89" t="b">
        <f>$J$19&gt;=F94*0.25</f>
        <v>0</v>
      </c>
      <c r="K94" s="89" t="b">
        <f>$K$19&gt;=F94*0.25</f>
        <v>1</v>
      </c>
    </row>
    <row r="95" spans="1:11" ht="15.75" thickBot="1" x14ac:dyDescent="0.3">
      <c r="A95" s="86">
        <v>80</v>
      </c>
      <c r="B95" s="86" t="s">
        <v>189</v>
      </c>
      <c r="C95" s="86" t="s">
        <v>148</v>
      </c>
      <c r="D95" s="86">
        <v>1992</v>
      </c>
      <c r="E95" s="86">
        <v>58</v>
      </c>
      <c r="F95" s="87">
        <v>4300</v>
      </c>
      <c r="G95" s="88" t="s">
        <v>209</v>
      </c>
      <c r="H95" s="89" t="b">
        <f>$H$19&gt;=F95*0.25</f>
        <v>0</v>
      </c>
      <c r="I95" s="89" t="b">
        <f>$I$19&gt;=F95*0.25</f>
        <v>0</v>
      </c>
      <c r="J95" s="89" t="b">
        <f>$J$19&gt;=F95*0.25</f>
        <v>0</v>
      </c>
      <c r="K95" s="89" t="b">
        <f>$K$19&gt;=F95*0.25</f>
        <v>1</v>
      </c>
    </row>
    <row r="96" spans="1:11" ht="15.75" thickBot="1" x14ac:dyDescent="0.3">
      <c r="A96" s="86">
        <v>83</v>
      </c>
      <c r="B96" s="86" t="s">
        <v>140</v>
      </c>
      <c r="C96" s="86" t="s">
        <v>114</v>
      </c>
      <c r="D96" s="86">
        <v>1992</v>
      </c>
      <c r="E96" s="86">
        <v>77</v>
      </c>
      <c r="F96" s="87">
        <v>4300</v>
      </c>
      <c r="G96" s="88" t="s">
        <v>212</v>
      </c>
      <c r="H96" s="89" t="b">
        <f>$H$19&gt;=F96*0.25</f>
        <v>0</v>
      </c>
      <c r="I96" s="89" t="b">
        <f>$I$19&gt;=F96*0.25</f>
        <v>0</v>
      </c>
      <c r="J96" s="89" t="b">
        <f>$J$19&gt;=F96*0.25</f>
        <v>0</v>
      </c>
      <c r="K96" s="89" t="b">
        <f>$K$19&gt;=F96*0.25</f>
        <v>1</v>
      </c>
    </row>
    <row r="97" spans="1:11" ht="15.75" thickBot="1" x14ac:dyDescent="0.3">
      <c r="A97" s="86">
        <v>54</v>
      </c>
      <c r="B97" s="86" t="s">
        <v>140</v>
      </c>
      <c r="C97" s="86" t="s">
        <v>180</v>
      </c>
      <c r="D97" s="86">
        <v>1993</v>
      </c>
      <c r="E97" s="86">
        <v>56</v>
      </c>
      <c r="F97" s="87">
        <v>4400</v>
      </c>
      <c r="G97" s="88" t="s">
        <v>181</v>
      </c>
      <c r="H97" s="89" t="b">
        <f>$H$19&gt;=F97*0.25</f>
        <v>0</v>
      </c>
      <c r="I97" s="89" t="b">
        <f>$I$19&gt;=F97*0.25</f>
        <v>0</v>
      </c>
      <c r="J97" s="89" t="b">
        <f>$J$19&gt;=F97*0.25</f>
        <v>0</v>
      </c>
      <c r="K97" s="89" t="b">
        <f>$K$19&gt;=F97*0.25</f>
        <v>1</v>
      </c>
    </row>
    <row r="98" spans="1:11" ht="15.75" thickBot="1" x14ac:dyDescent="0.3">
      <c r="A98" s="86">
        <v>23</v>
      </c>
      <c r="B98" s="86" t="s">
        <v>140</v>
      </c>
      <c r="C98" s="86" t="s">
        <v>129</v>
      </c>
      <c r="D98" s="86">
        <v>1994</v>
      </c>
      <c r="E98" s="86">
        <v>40</v>
      </c>
      <c r="F98" s="87">
        <v>4500</v>
      </c>
      <c r="G98" s="88" t="s">
        <v>143</v>
      </c>
      <c r="H98" s="89" t="b">
        <f>$H$19&gt;=F98*0.25</f>
        <v>0</v>
      </c>
      <c r="I98" s="89" t="b">
        <f>$I$19&gt;=F98*0.25</f>
        <v>0</v>
      </c>
      <c r="J98" s="89" t="b">
        <f>$J$19&gt;=F98*0.25</f>
        <v>0</v>
      </c>
      <c r="K98" s="89" t="b">
        <f>$K$19&gt;=F98*0.25</f>
        <v>1</v>
      </c>
    </row>
    <row r="99" spans="1:11" ht="15.75" thickBot="1" x14ac:dyDescent="0.3">
      <c r="A99" s="86">
        <v>61</v>
      </c>
      <c r="B99" s="86" t="s">
        <v>189</v>
      </c>
      <c r="C99" s="86" t="s">
        <v>116</v>
      </c>
      <c r="D99" s="86">
        <v>1992</v>
      </c>
      <c r="E99" s="86">
        <v>80</v>
      </c>
      <c r="F99" s="87">
        <v>4500</v>
      </c>
      <c r="G99" s="88" t="s">
        <v>190</v>
      </c>
      <c r="H99" s="89" t="b">
        <f>$H$19&gt;=F99*0.25</f>
        <v>0</v>
      </c>
      <c r="I99" s="89" t="b">
        <f>$I$19&gt;=F99*0.25</f>
        <v>0</v>
      </c>
      <c r="J99" s="89" t="b">
        <f>$J$19&gt;=F99*0.25</f>
        <v>0</v>
      </c>
      <c r="K99" s="89" t="b">
        <f>$K$19&gt;=F99*0.25</f>
        <v>1</v>
      </c>
    </row>
    <row r="100" spans="1:11" ht="15.75" thickBot="1" x14ac:dyDescent="0.3">
      <c r="A100" s="86">
        <v>68</v>
      </c>
      <c r="B100" s="86" t="s">
        <v>189</v>
      </c>
      <c r="C100" s="86" t="s">
        <v>148</v>
      </c>
      <c r="D100" s="86">
        <v>1992</v>
      </c>
      <c r="E100" s="86">
        <v>70</v>
      </c>
      <c r="F100" s="87">
        <v>5500</v>
      </c>
      <c r="G100" s="88" t="s">
        <v>197</v>
      </c>
      <c r="H100" s="89" t="b">
        <f>$H$19&gt;=F100*0.25</f>
        <v>0</v>
      </c>
      <c r="I100" s="89" t="b">
        <f>$I$19&gt;=F100*0.25</f>
        <v>0</v>
      </c>
      <c r="J100" s="89" t="b">
        <f>$J$19&gt;=F100*0.25</f>
        <v>0</v>
      </c>
      <c r="K100" s="89" t="b">
        <f>$K$19&gt;=F100*0.25</f>
        <v>0</v>
      </c>
    </row>
    <row r="101" spans="1:11" ht="15.75" thickBot="1" x14ac:dyDescent="0.3">
      <c r="A101" s="86">
        <v>75</v>
      </c>
      <c r="B101" s="86" t="s">
        <v>126</v>
      </c>
      <c r="C101" s="86" t="s">
        <v>180</v>
      </c>
      <c r="D101" s="86">
        <v>1993</v>
      </c>
      <c r="E101" s="86">
        <v>56</v>
      </c>
      <c r="F101" s="87">
        <v>5500</v>
      </c>
      <c r="G101" s="88" t="s">
        <v>204</v>
      </c>
      <c r="H101" s="89" t="b">
        <f>$H$19&gt;=F101*0.25</f>
        <v>0</v>
      </c>
      <c r="I101" s="89" t="b">
        <f>$I$19&gt;=F101*0.25</f>
        <v>0</v>
      </c>
      <c r="J101" s="89" t="b">
        <f>$J$19&gt;=F101*0.25</f>
        <v>0</v>
      </c>
      <c r="K101" s="89" t="b">
        <f>$K$19&gt;=F101*0.25</f>
        <v>0</v>
      </c>
    </row>
    <row r="102" spans="1:11" ht="15.75" thickBot="1" x14ac:dyDescent="0.3">
      <c r="A102" s="86">
        <v>84</v>
      </c>
      <c r="B102" s="86" t="s">
        <v>140</v>
      </c>
      <c r="C102" s="86" t="s">
        <v>129</v>
      </c>
      <c r="D102" s="86">
        <v>1991</v>
      </c>
      <c r="E102" s="86">
        <v>55</v>
      </c>
      <c r="F102" s="87">
        <v>5500</v>
      </c>
      <c r="G102" s="88" t="s">
        <v>213</v>
      </c>
      <c r="H102" s="89" t="b">
        <f>$H$19&gt;=F102*0.25</f>
        <v>0</v>
      </c>
      <c r="I102" s="89" t="b">
        <f>$I$19&gt;=F102*0.25</f>
        <v>0</v>
      </c>
      <c r="J102" s="89" t="b">
        <f>$J$19&gt;=F102*0.25</f>
        <v>0</v>
      </c>
      <c r="K102" s="89" t="b">
        <f>$K$19&gt;=F102*0.25</f>
        <v>0</v>
      </c>
    </row>
    <row r="103" spans="1:11" ht="15.75" thickBot="1" x14ac:dyDescent="0.3">
      <c r="A103" s="86">
        <v>10</v>
      </c>
      <c r="B103" s="86" t="s">
        <v>109</v>
      </c>
      <c r="C103" s="86" t="s">
        <v>124</v>
      </c>
      <c r="D103" s="86">
        <v>1996</v>
      </c>
      <c r="E103" s="86">
        <v>73</v>
      </c>
      <c r="F103" s="87">
        <v>5800</v>
      </c>
      <c r="G103" s="88" t="s">
        <v>125</v>
      </c>
      <c r="H103" s="89" t="b">
        <f>$H$19&gt;=F103*0.25</f>
        <v>0</v>
      </c>
      <c r="I103" s="89" t="b">
        <f>$I$19&gt;=F103*0.25</f>
        <v>0</v>
      </c>
      <c r="J103" s="89" t="b">
        <f>$J$19&gt;=F103*0.25</f>
        <v>0</v>
      </c>
      <c r="K103" s="89" t="b">
        <f>$K$19&gt;=F103*0.25</f>
        <v>0</v>
      </c>
    </row>
    <row r="104" spans="1:11" x14ac:dyDescent="0.25">
      <c r="H104" s="77"/>
    </row>
    <row r="105" spans="1:11" x14ac:dyDescent="0.25">
      <c r="H105" s="77"/>
    </row>
    <row r="106" spans="1:11" x14ac:dyDescent="0.25">
      <c r="H106" s="77"/>
    </row>
    <row r="107" spans="1:11" x14ac:dyDescent="0.25">
      <c r="H107" s="77"/>
    </row>
    <row r="108" spans="1:11" x14ac:dyDescent="0.25">
      <c r="H108" s="77"/>
    </row>
    <row r="109" spans="1:11" x14ac:dyDescent="0.25">
      <c r="H109" s="77"/>
    </row>
    <row r="110" spans="1:11" x14ac:dyDescent="0.25">
      <c r="H110" s="77"/>
    </row>
    <row r="111" spans="1:11" x14ac:dyDescent="0.25">
      <c r="H111" s="77"/>
    </row>
    <row r="112" spans="1:11" x14ac:dyDescent="0.25">
      <c r="H112" s="77"/>
    </row>
    <row r="113" spans="6:8" x14ac:dyDescent="0.25">
      <c r="H113" s="77"/>
    </row>
    <row r="114" spans="6:8" x14ac:dyDescent="0.25">
      <c r="H114" s="77"/>
    </row>
    <row r="115" spans="6:8" x14ac:dyDescent="0.25">
      <c r="H115" s="77"/>
    </row>
    <row r="116" spans="6:8" x14ac:dyDescent="0.25">
      <c r="H116" s="77"/>
    </row>
    <row r="117" spans="6:8" x14ac:dyDescent="0.25">
      <c r="H117" s="77"/>
    </row>
    <row r="118" spans="6:8" x14ac:dyDescent="0.25">
      <c r="H118" s="77"/>
    </row>
    <row r="119" spans="6:8" x14ac:dyDescent="0.25">
      <c r="H119" s="77"/>
    </row>
    <row r="120" spans="6:8" x14ac:dyDescent="0.25">
      <c r="H120" s="77"/>
    </row>
    <row r="121" spans="6:8" x14ac:dyDescent="0.25">
      <c r="H121" s="77"/>
    </row>
    <row r="123" spans="6:8" ht="15.75" thickBot="1" x14ac:dyDescent="0.3"/>
    <row r="124" spans="6:8" ht="15.75" thickBot="1" x14ac:dyDescent="0.3">
      <c r="F124" s="78"/>
      <c r="G124" s="79"/>
    </row>
  </sheetData>
  <autoFilter ref="F19:F103">
    <sortState ref="A20:K103">
      <sortCondition ref="F19:F103"/>
    </sortState>
  </autoFilter>
  <mergeCells count="1">
    <mergeCell ref="H18:K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M37"/>
  <sheetViews>
    <sheetView workbookViewId="0">
      <selection activeCell="K38" sqref="K38"/>
    </sheetView>
  </sheetViews>
  <sheetFormatPr defaultRowHeight="15" x14ac:dyDescent="0.25"/>
  <cols>
    <col min="1" max="8" width="14.140625" style="71" customWidth="1"/>
    <col min="9" max="9" width="11.7109375" style="71" customWidth="1"/>
    <col min="10" max="10" width="9.140625" style="71"/>
    <col min="11" max="11" width="13.42578125" style="71" bestFit="1" customWidth="1"/>
    <col min="12" max="12" width="9.140625" style="71"/>
    <col min="13" max="13" width="13.42578125" style="71" bestFit="1" customWidth="1"/>
    <col min="14" max="16384" width="9.140625" style="71"/>
  </cols>
  <sheetData>
    <row r="12" spans="1:13" ht="31.5" x14ac:dyDescent="0.25">
      <c r="K12" s="140" t="s">
        <v>301</v>
      </c>
      <c r="M12" s="140" t="s">
        <v>301</v>
      </c>
    </row>
    <row r="13" spans="1:13" x14ac:dyDescent="0.25">
      <c r="K13" s="92"/>
      <c r="M13" s="92"/>
    </row>
    <row r="14" spans="1:13" x14ac:dyDescent="0.25">
      <c r="K14" s="92">
        <f>SUM(11300*0.3)</f>
        <v>3390</v>
      </c>
      <c r="M14" s="92">
        <f>SUM(11300*0.65)</f>
        <v>7345</v>
      </c>
    </row>
    <row r="15" spans="1:13" ht="15.75" x14ac:dyDescent="0.25">
      <c r="A15" s="90" t="s">
        <v>214</v>
      </c>
      <c r="B15" s="90" t="s">
        <v>215</v>
      </c>
      <c r="C15" s="90" t="s">
        <v>216</v>
      </c>
      <c r="D15" s="90" t="s">
        <v>217</v>
      </c>
      <c r="E15" s="90" t="s">
        <v>218</v>
      </c>
      <c r="F15" s="90" t="s">
        <v>219</v>
      </c>
      <c r="G15" s="90" t="s">
        <v>220</v>
      </c>
      <c r="H15" s="90" t="s">
        <v>221</v>
      </c>
      <c r="I15" s="90" t="s">
        <v>222</v>
      </c>
    </row>
    <row r="16" spans="1:13" ht="15.75" x14ac:dyDescent="0.25">
      <c r="A16" s="90" t="s">
        <v>223</v>
      </c>
      <c r="B16" s="91" t="s">
        <v>224</v>
      </c>
      <c r="C16" s="91" t="s">
        <v>225</v>
      </c>
      <c r="D16" s="91" t="s">
        <v>226</v>
      </c>
      <c r="E16" s="91" t="s">
        <v>227</v>
      </c>
      <c r="F16" s="91" t="s">
        <v>228</v>
      </c>
      <c r="G16" s="91" t="s">
        <v>229</v>
      </c>
      <c r="H16" s="92" t="s">
        <v>230</v>
      </c>
      <c r="I16" s="92" t="s">
        <v>231</v>
      </c>
    </row>
    <row r="17" spans="1:9" ht="15.75" x14ac:dyDescent="0.25">
      <c r="A17" s="93" t="s">
        <v>232</v>
      </c>
      <c r="B17" s="94">
        <v>4.5</v>
      </c>
      <c r="C17" s="95">
        <v>3</v>
      </c>
      <c r="D17" s="94">
        <v>3.5</v>
      </c>
      <c r="E17" s="94">
        <v>5</v>
      </c>
      <c r="F17" s="94">
        <v>3.5</v>
      </c>
      <c r="G17" s="94">
        <f>SUM(B17:F17)</f>
        <v>19.5</v>
      </c>
      <c r="H17" s="141" t="s">
        <v>302</v>
      </c>
      <c r="I17" s="96">
        <f>SUM($K$14)</f>
        <v>3390</v>
      </c>
    </row>
    <row r="18" spans="1:9" ht="15.75" x14ac:dyDescent="0.25">
      <c r="A18" s="93" t="s">
        <v>233</v>
      </c>
      <c r="B18" s="94">
        <v>4</v>
      </c>
      <c r="C18" s="95">
        <v>4</v>
      </c>
      <c r="D18" s="94">
        <v>4</v>
      </c>
      <c r="E18" s="94">
        <v>3.5</v>
      </c>
      <c r="F18" s="94">
        <v>4</v>
      </c>
      <c r="G18" s="94">
        <f t="shared" ref="G18:G33" si="0">SUM(B18:F18)</f>
        <v>19.5</v>
      </c>
      <c r="H18" s="141" t="s">
        <v>302</v>
      </c>
      <c r="I18" s="96">
        <f t="shared" ref="I18:I19" si="1">SUM($K$14)</f>
        <v>3390</v>
      </c>
    </row>
    <row r="19" spans="1:9" ht="15.75" x14ac:dyDescent="0.25">
      <c r="A19" s="93" t="s">
        <v>234</v>
      </c>
      <c r="B19" s="94">
        <v>3.5</v>
      </c>
      <c r="C19" s="95">
        <v>5</v>
      </c>
      <c r="D19" s="94">
        <v>5</v>
      </c>
      <c r="E19" s="94">
        <v>4</v>
      </c>
      <c r="F19" s="94">
        <v>5</v>
      </c>
      <c r="G19" s="94">
        <f t="shared" si="0"/>
        <v>22.5</v>
      </c>
      <c r="H19" s="141" t="s">
        <v>302</v>
      </c>
      <c r="I19" s="96">
        <f t="shared" si="1"/>
        <v>3390</v>
      </c>
    </row>
    <row r="20" spans="1:9" ht="15.75" x14ac:dyDescent="0.25">
      <c r="A20" s="93" t="s">
        <v>235</v>
      </c>
      <c r="B20" s="94">
        <v>3</v>
      </c>
      <c r="C20" s="94">
        <v>4.5</v>
      </c>
      <c r="D20" s="94">
        <v>3</v>
      </c>
      <c r="E20" s="94">
        <v>3</v>
      </c>
      <c r="F20" s="94">
        <v>3.5</v>
      </c>
      <c r="G20" s="94">
        <f t="shared" si="0"/>
        <v>17</v>
      </c>
      <c r="H20" s="141" t="s">
        <v>303</v>
      </c>
      <c r="I20" s="145">
        <v>0</v>
      </c>
    </row>
    <row r="21" spans="1:9" ht="15.75" x14ac:dyDescent="0.25">
      <c r="A21" s="93" t="s">
        <v>236</v>
      </c>
      <c r="B21" s="94">
        <v>3.5</v>
      </c>
      <c r="C21" s="94">
        <v>3.5</v>
      </c>
      <c r="D21" s="94">
        <v>3</v>
      </c>
      <c r="E21" s="94">
        <v>3</v>
      </c>
      <c r="F21" s="94">
        <v>3.5</v>
      </c>
      <c r="G21" s="94">
        <f t="shared" si="0"/>
        <v>16.5</v>
      </c>
      <c r="H21" s="141" t="s">
        <v>303</v>
      </c>
      <c r="I21" s="145">
        <v>0</v>
      </c>
    </row>
    <row r="22" spans="1:9" ht="15.75" x14ac:dyDescent="0.25">
      <c r="A22" s="93" t="s">
        <v>237</v>
      </c>
      <c r="B22" s="94">
        <v>3.5</v>
      </c>
      <c r="C22" s="94">
        <v>4</v>
      </c>
      <c r="D22" s="94">
        <v>5</v>
      </c>
      <c r="E22" s="94">
        <v>5</v>
      </c>
      <c r="F22" s="94">
        <v>5</v>
      </c>
      <c r="G22" s="94">
        <f t="shared" si="0"/>
        <v>22.5</v>
      </c>
      <c r="H22" s="141" t="s">
        <v>302</v>
      </c>
      <c r="I22" s="96">
        <f t="shared" ref="I22" si="2">SUM($K$14)</f>
        <v>3390</v>
      </c>
    </row>
    <row r="23" spans="1:9" ht="15.75" x14ac:dyDescent="0.25">
      <c r="A23" s="93" t="s">
        <v>238</v>
      </c>
      <c r="B23" s="94">
        <v>5</v>
      </c>
      <c r="C23" s="94">
        <v>5</v>
      </c>
      <c r="D23" s="94">
        <v>5</v>
      </c>
      <c r="E23" s="94">
        <v>5</v>
      </c>
      <c r="F23" s="94">
        <v>5</v>
      </c>
      <c r="G23" s="94">
        <f t="shared" si="0"/>
        <v>25</v>
      </c>
      <c r="H23" s="141" t="s">
        <v>304</v>
      </c>
      <c r="I23" s="144">
        <v>7345</v>
      </c>
    </row>
    <row r="24" spans="1:9" ht="15.75" x14ac:dyDescent="0.25">
      <c r="A24" s="93" t="s">
        <v>239</v>
      </c>
      <c r="B24" s="94">
        <v>5</v>
      </c>
      <c r="C24" s="94">
        <v>4.5</v>
      </c>
      <c r="D24" s="94">
        <v>4</v>
      </c>
      <c r="E24" s="94">
        <v>5</v>
      </c>
      <c r="F24" s="94">
        <v>4.5</v>
      </c>
      <c r="G24" s="94">
        <f t="shared" si="0"/>
        <v>23</v>
      </c>
      <c r="H24" s="141" t="s">
        <v>302</v>
      </c>
      <c r="I24" s="96">
        <f t="shared" ref="I24:I32" si="3">SUM($K$14)</f>
        <v>3390</v>
      </c>
    </row>
    <row r="25" spans="1:9" ht="15.75" x14ac:dyDescent="0.25">
      <c r="A25" s="93" t="s">
        <v>240</v>
      </c>
      <c r="B25" s="94">
        <v>4.5</v>
      </c>
      <c r="C25" s="94">
        <v>5</v>
      </c>
      <c r="D25" s="94">
        <v>4</v>
      </c>
      <c r="E25" s="94">
        <v>4.5</v>
      </c>
      <c r="F25" s="94">
        <v>3.5</v>
      </c>
      <c r="G25" s="94">
        <f t="shared" si="0"/>
        <v>21.5</v>
      </c>
      <c r="H25" s="141" t="s">
        <v>302</v>
      </c>
      <c r="I25" s="96">
        <f t="shared" si="3"/>
        <v>3390</v>
      </c>
    </row>
    <row r="26" spans="1:9" ht="15.75" x14ac:dyDescent="0.25">
      <c r="A26" s="93" t="s">
        <v>241</v>
      </c>
      <c r="B26" s="94">
        <v>5</v>
      </c>
      <c r="C26" s="94">
        <v>5</v>
      </c>
      <c r="D26" s="94">
        <v>3</v>
      </c>
      <c r="E26" s="94">
        <v>5</v>
      </c>
      <c r="F26" s="94">
        <v>4</v>
      </c>
      <c r="G26" s="94">
        <f t="shared" si="0"/>
        <v>22</v>
      </c>
      <c r="H26" s="141" t="s">
        <v>302</v>
      </c>
      <c r="I26" s="96">
        <f t="shared" si="3"/>
        <v>3390</v>
      </c>
    </row>
    <row r="27" spans="1:9" ht="15.75" x14ac:dyDescent="0.25">
      <c r="A27" s="93" t="s">
        <v>242</v>
      </c>
      <c r="B27" s="94">
        <v>5</v>
      </c>
      <c r="C27" s="94">
        <v>3</v>
      </c>
      <c r="D27" s="94">
        <v>5</v>
      </c>
      <c r="E27" s="94">
        <v>5</v>
      </c>
      <c r="F27" s="94">
        <v>5</v>
      </c>
      <c r="G27" s="94">
        <f t="shared" si="0"/>
        <v>23</v>
      </c>
      <c r="H27" s="141" t="s">
        <v>302</v>
      </c>
      <c r="I27" s="96">
        <f t="shared" si="3"/>
        <v>3390</v>
      </c>
    </row>
    <row r="28" spans="1:9" ht="15.75" x14ac:dyDescent="0.25">
      <c r="A28" s="93" t="s">
        <v>243</v>
      </c>
      <c r="B28" s="94">
        <v>3.5</v>
      </c>
      <c r="C28" s="94">
        <v>3.5</v>
      </c>
      <c r="D28" s="94">
        <v>3.5</v>
      </c>
      <c r="E28" s="94">
        <v>4</v>
      </c>
      <c r="F28" s="94">
        <v>3</v>
      </c>
      <c r="G28" s="94">
        <f t="shared" si="0"/>
        <v>17.5</v>
      </c>
      <c r="H28" s="141" t="s">
        <v>303</v>
      </c>
      <c r="I28" s="145">
        <v>0</v>
      </c>
    </row>
    <row r="29" spans="1:9" ht="15.75" x14ac:dyDescent="0.25">
      <c r="A29" s="93" t="s">
        <v>244</v>
      </c>
      <c r="B29" s="94">
        <v>4</v>
      </c>
      <c r="C29" s="94">
        <v>4</v>
      </c>
      <c r="D29" s="94">
        <v>4</v>
      </c>
      <c r="E29" s="94">
        <v>5</v>
      </c>
      <c r="F29" s="94">
        <v>5</v>
      </c>
      <c r="G29" s="94">
        <f t="shared" si="0"/>
        <v>22</v>
      </c>
      <c r="H29" s="141" t="s">
        <v>302</v>
      </c>
      <c r="I29" s="96">
        <f t="shared" si="3"/>
        <v>3390</v>
      </c>
    </row>
    <row r="30" spans="1:9" ht="15.75" x14ac:dyDescent="0.25">
      <c r="A30" s="93" t="s">
        <v>245</v>
      </c>
      <c r="B30" s="94">
        <v>5</v>
      </c>
      <c r="C30" s="94">
        <v>5</v>
      </c>
      <c r="D30" s="94">
        <v>4</v>
      </c>
      <c r="E30" s="94">
        <v>5</v>
      </c>
      <c r="F30" s="94">
        <v>5</v>
      </c>
      <c r="G30" s="94">
        <f t="shared" si="0"/>
        <v>24</v>
      </c>
      <c r="H30" s="141" t="s">
        <v>304</v>
      </c>
      <c r="I30" s="144">
        <v>7345</v>
      </c>
    </row>
    <row r="31" spans="1:9" ht="15.75" x14ac:dyDescent="0.25">
      <c r="A31" s="93" t="s">
        <v>246</v>
      </c>
      <c r="B31" s="94">
        <v>5</v>
      </c>
      <c r="C31" s="94">
        <v>4.5</v>
      </c>
      <c r="D31" s="94">
        <v>4.5</v>
      </c>
      <c r="E31" s="94">
        <v>5</v>
      </c>
      <c r="F31" s="94">
        <v>4.5</v>
      </c>
      <c r="G31" s="94">
        <f t="shared" si="0"/>
        <v>23.5</v>
      </c>
      <c r="H31" s="141" t="s">
        <v>302</v>
      </c>
      <c r="I31" s="96">
        <f t="shared" si="3"/>
        <v>3390</v>
      </c>
    </row>
    <row r="32" spans="1:9" ht="15.75" x14ac:dyDescent="0.25">
      <c r="A32" s="93" t="s">
        <v>247</v>
      </c>
      <c r="B32" s="94">
        <v>5</v>
      </c>
      <c r="C32" s="94">
        <v>5</v>
      </c>
      <c r="D32" s="94">
        <v>5</v>
      </c>
      <c r="E32" s="94">
        <v>4</v>
      </c>
      <c r="F32" s="94">
        <v>4</v>
      </c>
      <c r="G32" s="94">
        <f t="shared" si="0"/>
        <v>23</v>
      </c>
      <c r="H32" s="141" t="s">
        <v>302</v>
      </c>
      <c r="I32" s="96">
        <f t="shared" si="3"/>
        <v>3390</v>
      </c>
    </row>
    <row r="33" spans="1:9" ht="15.75" x14ac:dyDescent="0.25">
      <c r="A33" s="93" t="s">
        <v>248</v>
      </c>
      <c r="B33" s="94">
        <v>5</v>
      </c>
      <c r="C33" s="94">
        <v>5</v>
      </c>
      <c r="D33" s="94">
        <v>5</v>
      </c>
      <c r="E33" s="94">
        <v>5</v>
      </c>
      <c r="F33" s="94">
        <v>5</v>
      </c>
      <c r="G33" s="94">
        <f t="shared" si="0"/>
        <v>25</v>
      </c>
      <c r="H33" s="141" t="s">
        <v>304</v>
      </c>
      <c r="I33" s="144">
        <v>7345</v>
      </c>
    </row>
    <row r="34" spans="1:9" x14ac:dyDescent="0.25">
      <c r="H34" s="97"/>
    </row>
    <row r="35" spans="1:9" x14ac:dyDescent="0.25">
      <c r="H35" s="97"/>
      <c r="I35" s="98"/>
    </row>
    <row r="36" spans="1:9" x14ac:dyDescent="0.25">
      <c r="H36" s="98"/>
      <c r="I36" s="98"/>
    </row>
    <row r="37" spans="1:9" x14ac:dyDescent="0.25">
      <c r="H37" s="99"/>
      <c r="I37" s="97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J14" sqref="J14"/>
    </sheetView>
  </sheetViews>
  <sheetFormatPr defaultRowHeight="15" x14ac:dyDescent="0.25"/>
  <sheetData>
    <row r="1" spans="1:12" x14ac:dyDescent="0.25">
      <c r="A1" s="102" t="s">
        <v>249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4"/>
    </row>
    <row r="2" spans="1:12" x14ac:dyDescent="0.25">
      <c r="A2" s="105" t="s">
        <v>269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2" ht="15.75" thickBot="1" x14ac:dyDescent="0.3">
      <c r="A3" s="105" t="s">
        <v>250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2" ht="15.75" thickBot="1" x14ac:dyDescent="0.3">
      <c r="A4" s="108" t="s">
        <v>251</v>
      </c>
      <c r="B4" s="100" t="s">
        <v>252</v>
      </c>
      <c r="C4" s="100" t="s">
        <v>253</v>
      </c>
      <c r="D4" s="100" t="s">
        <v>254</v>
      </c>
      <c r="E4" s="100" t="s">
        <v>255</v>
      </c>
      <c r="F4" s="100" t="s">
        <v>256</v>
      </c>
      <c r="G4" s="100" t="s">
        <v>257</v>
      </c>
      <c r="H4" s="100" t="s">
        <v>258</v>
      </c>
      <c r="I4" s="100" t="s">
        <v>259</v>
      </c>
      <c r="J4" s="100" t="s">
        <v>260</v>
      </c>
      <c r="K4" s="100" t="s">
        <v>261</v>
      </c>
      <c r="L4" s="109" t="s">
        <v>262</v>
      </c>
    </row>
    <row r="5" spans="1:12" ht="15.75" thickBot="1" x14ac:dyDescent="0.3">
      <c r="A5" s="110">
        <v>1200</v>
      </c>
      <c r="B5" s="101">
        <v>2500</v>
      </c>
      <c r="C5" s="101">
        <v>3800</v>
      </c>
      <c r="D5" s="101">
        <v>3000</v>
      </c>
      <c r="E5" s="101">
        <v>2900</v>
      </c>
      <c r="F5" s="101">
        <v>3500</v>
      </c>
      <c r="G5" s="101">
        <v>4000</v>
      </c>
      <c r="H5" s="101">
        <v>4200</v>
      </c>
      <c r="I5" s="101">
        <v>4500</v>
      </c>
      <c r="J5" s="101">
        <v>4100</v>
      </c>
      <c r="K5" s="101">
        <v>2900</v>
      </c>
      <c r="L5" s="111">
        <v>2100</v>
      </c>
    </row>
    <row r="6" spans="1:12" x14ac:dyDescent="0.25">
      <c r="A6" s="105" t="s">
        <v>263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7"/>
    </row>
    <row r="7" spans="1:12" x14ac:dyDescent="0.25">
      <c r="A7" s="105" t="s">
        <v>264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7"/>
    </row>
    <row r="8" spans="1:12" x14ac:dyDescent="0.25">
      <c r="A8" s="105" t="s">
        <v>268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12" x14ac:dyDescent="0.25">
      <c r="A9" s="105" t="s">
        <v>266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7"/>
    </row>
    <row r="10" spans="1:12" x14ac:dyDescent="0.25">
      <c r="A10" s="112" t="s">
        <v>267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 x14ac:dyDescent="0.25">
      <c r="A11" s="113" t="s">
        <v>265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E21" sqref="E21"/>
    </sheetView>
  </sheetViews>
  <sheetFormatPr defaultRowHeight="15" x14ac:dyDescent="0.25"/>
  <sheetData>
    <row r="1" spans="1:14" ht="18.75" x14ac:dyDescent="0.3">
      <c r="A1" s="116" t="s">
        <v>272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8.75" x14ac:dyDescent="0.3">
      <c r="A2" s="117" t="s">
        <v>270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5"/>
    </row>
    <row r="3" spans="1:14" ht="18.75" x14ac:dyDescent="0.3">
      <c r="A3" s="118" t="s">
        <v>271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 ht="15.75" x14ac:dyDescent="0.25">
      <c r="A4" s="45"/>
    </row>
    <row r="5" spans="1:14" ht="15.75" x14ac:dyDescent="0.25">
      <c r="A5" s="45"/>
    </row>
    <row r="6" spans="1:14" ht="15.75" x14ac:dyDescent="0.25">
      <c r="A6" s="45"/>
    </row>
    <row r="7" spans="1:14" ht="15.75" x14ac:dyDescent="0.25">
      <c r="A7" s="45"/>
    </row>
    <row r="8" spans="1:14" ht="15.75" x14ac:dyDescent="0.25">
      <c r="A8" s="45"/>
    </row>
    <row r="9" spans="1:14" ht="15.75" x14ac:dyDescent="0.25">
      <c r="A9" s="45"/>
    </row>
    <row r="10" spans="1:14" ht="15.75" x14ac:dyDescent="0.25">
      <c r="A10" s="45"/>
    </row>
    <row r="11" spans="1:14" ht="15.75" x14ac:dyDescent="0.25">
      <c r="A11" s="45"/>
    </row>
    <row r="12" spans="1:14" ht="15.75" x14ac:dyDescent="0.25">
      <c r="A12" s="45"/>
    </row>
    <row r="13" spans="1:14" ht="15.75" x14ac:dyDescent="0.25">
      <c r="A13" s="45"/>
    </row>
    <row r="14" spans="1:14" ht="15.75" x14ac:dyDescent="0.25">
      <c r="A14" s="45"/>
    </row>
    <row r="15" spans="1:14" ht="15.75" x14ac:dyDescent="0.25">
      <c r="A15" s="45"/>
      <c r="D15" s="146"/>
    </row>
    <row r="16" spans="1:14" x14ac:dyDescent="0.25">
      <c r="A16" t="s">
        <v>164</v>
      </c>
      <c r="C16" s="146"/>
      <c r="D16" s="120">
        <f>IF(A16="красный",1,0)</f>
        <v>1</v>
      </c>
      <c r="E16" s="146"/>
    </row>
    <row r="17" spans="3:5" x14ac:dyDescent="0.25">
      <c r="C17" s="146"/>
      <c r="D17" s="120"/>
      <c r="E17" s="146"/>
    </row>
    <row r="18" spans="3:5" x14ac:dyDescent="0.25">
      <c r="C18" s="146"/>
      <c r="D18" s="120"/>
      <c r="E18" s="146"/>
    </row>
    <row r="19" spans="3:5" x14ac:dyDescent="0.25">
      <c r="D19" s="146"/>
    </row>
  </sheetData>
  <conditionalFormatting sqref="D16">
    <cfRule type="cellIs" dxfId="2" priority="1" operator="equal">
      <formula>0</formula>
    </cfRule>
    <cfRule type="cellIs" dxfId="1" priority="2" operator="equal">
      <formula>1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E6" sqref="E6"/>
    </sheetView>
  </sheetViews>
  <sheetFormatPr defaultRowHeight="15" x14ac:dyDescent="0.25"/>
  <cols>
    <col min="6" max="6" width="14.7109375" bestFit="1" customWidth="1"/>
    <col min="7" max="7" width="13.5703125" bestFit="1" customWidth="1"/>
    <col min="9" max="9" width="14.7109375" bestFit="1" customWidth="1"/>
    <col min="10" max="10" width="16.28515625" bestFit="1" customWidth="1"/>
  </cols>
  <sheetData>
    <row r="1" spans="1:11" x14ac:dyDescent="0.25">
      <c r="A1" t="s">
        <v>305</v>
      </c>
      <c r="D1" t="s">
        <v>322</v>
      </c>
      <c r="E1" t="s">
        <v>325</v>
      </c>
      <c r="I1" t="s">
        <v>319</v>
      </c>
      <c r="J1" t="s">
        <v>320</v>
      </c>
      <c r="K1" s="143" t="s">
        <v>321</v>
      </c>
    </row>
    <row r="2" spans="1:11" x14ac:dyDescent="0.25">
      <c r="A2" t="s">
        <v>306</v>
      </c>
      <c r="B2">
        <f>SUM(I2)</f>
        <v>15000</v>
      </c>
      <c r="C2">
        <v>625</v>
      </c>
      <c r="D2">
        <v>312.5</v>
      </c>
      <c r="I2">
        <v>15000</v>
      </c>
      <c r="J2">
        <v>2</v>
      </c>
      <c r="K2" s="147">
        <v>0.25</v>
      </c>
    </row>
    <row r="3" spans="1:11" x14ac:dyDescent="0.25">
      <c r="A3" t="s">
        <v>307</v>
      </c>
      <c r="B3" s="142">
        <f>SUM(B2-625)</f>
        <v>14375</v>
      </c>
    </row>
    <row r="4" spans="1:11" x14ac:dyDescent="0.25">
      <c r="A4" s="142" t="s">
        <v>308</v>
      </c>
      <c r="B4" s="142">
        <f t="shared" ref="B4:B15" si="0">SUM(B3-625)</f>
        <v>13750</v>
      </c>
    </row>
    <row r="5" spans="1:11" x14ac:dyDescent="0.25">
      <c r="A5" s="142" t="s">
        <v>309</v>
      </c>
      <c r="B5" s="142">
        <f t="shared" si="0"/>
        <v>13125</v>
      </c>
      <c r="I5" t="s">
        <v>323</v>
      </c>
      <c r="J5" t="s">
        <v>324</v>
      </c>
    </row>
    <row r="6" spans="1:11" x14ac:dyDescent="0.25">
      <c r="A6" s="142" t="s">
        <v>310</v>
      </c>
      <c r="B6" s="142">
        <f t="shared" si="0"/>
        <v>12500</v>
      </c>
      <c r="I6">
        <f>SUM(I2*0.25*2)</f>
        <v>7500</v>
      </c>
      <c r="J6">
        <f>SUM(I6/24)</f>
        <v>312.5</v>
      </c>
    </row>
    <row r="7" spans="1:11" x14ac:dyDescent="0.25">
      <c r="A7" s="142" t="s">
        <v>311</v>
      </c>
      <c r="B7" s="142">
        <f t="shared" si="0"/>
        <v>11875</v>
      </c>
    </row>
    <row r="8" spans="1:11" x14ac:dyDescent="0.25">
      <c r="A8" s="142" t="s">
        <v>312</v>
      </c>
      <c r="B8" s="142">
        <f t="shared" si="0"/>
        <v>11250</v>
      </c>
    </row>
    <row r="9" spans="1:11" x14ac:dyDescent="0.25">
      <c r="A9" s="142" t="s">
        <v>313</v>
      </c>
      <c r="B9" s="142">
        <f t="shared" si="0"/>
        <v>10625</v>
      </c>
    </row>
    <row r="10" spans="1:11" x14ac:dyDescent="0.25">
      <c r="A10" s="142" t="s">
        <v>314</v>
      </c>
      <c r="B10" s="142">
        <f t="shared" si="0"/>
        <v>10000</v>
      </c>
    </row>
    <row r="11" spans="1:11" x14ac:dyDescent="0.25">
      <c r="A11" s="142" t="s">
        <v>315</v>
      </c>
      <c r="B11" s="142">
        <f t="shared" si="0"/>
        <v>9375</v>
      </c>
    </row>
    <row r="12" spans="1:11" x14ac:dyDescent="0.25">
      <c r="A12" s="142" t="s">
        <v>316</v>
      </c>
      <c r="B12" s="142">
        <f t="shared" si="0"/>
        <v>8750</v>
      </c>
    </row>
    <row r="13" spans="1:11" x14ac:dyDescent="0.25">
      <c r="A13" s="142" t="s">
        <v>317</v>
      </c>
      <c r="B13" s="142">
        <f t="shared" si="0"/>
        <v>8125</v>
      </c>
    </row>
    <row r="14" spans="1:11" x14ac:dyDescent="0.25">
      <c r="A14" t="s">
        <v>318</v>
      </c>
      <c r="B14" s="142"/>
    </row>
    <row r="15" spans="1:11" x14ac:dyDescent="0.25">
      <c r="A15" s="142" t="s">
        <v>306</v>
      </c>
      <c r="B15" s="142">
        <f>SUM(B13-625)</f>
        <v>7500</v>
      </c>
    </row>
    <row r="16" spans="1:11" x14ac:dyDescent="0.25">
      <c r="A16" s="142" t="s">
        <v>307</v>
      </c>
      <c r="B16" s="142">
        <f>SUM(B15-625)</f>
        <v>6875</v>
      </c>
    </row>
    <row r="17" spans="1:2" x14ac:dyDescent="0.25">
      <c r="A17" s="142" t="s">
        <v>308</v>
      </c>
      <c r="B17" s="142">
        <f t="shared" ref="B17:B26" si="1">SUM(B16-625)</f>
        <v>6250</v>
      </c>
    </row>
    <row r="18" spans="1:2" x14ac:dyDescent="0.25">
      <c r="A18" s="142" t="s">
        <v>309</v>
      </c>
      <c r="B18" s="142">
        <f t="shared" si="1"/>
        <v>5625</v>
      </c>
    </row>
    <row r="19" spans="1:2" x14ac:dyDescent="0.25">
      <c r="A19" s="142" t="s">
        <v>310</v>
      </c>
      <c r="B19" s="142">
        <f t="shared" si="1"/>
        <v>5000</v>
      </c>
    </row>
    <row r="20" spans="1:2" x14ac:dyDescent="0.25">
      <c r="A20" s="142" t="s">
        <v>311</v>
      </c>
      <c r="B20" s="142">
        <f t="shared" si="1"/>
        <v>4375</v>
      </c>
    </row>
    <row r="21" spans="1:2" x14ac:dyDescent="0.25">
      <c r="A21" s="142" t="s">
        <v>312</v>
      </c>
      <c r="B21" s="142">
        <f t="shared" si="1"/>
        <v>3750</v>
      </c>
    </row>
    <row r="22" spans="1:2" x14ac:dyDescent="0.25">
      <c r="A22" s="142" t="s">
        <v>313</v>
      </c>
      <c r="B22" s="142">
        <f t="shared" si="1"/>
        <v>3125</v>
      </c>
    </row>
    <row r="23" spans="1:2" x14ac:dyDescent="0.25">
      <c r="A23" s="142" t="s">
        <v>314</v>
      </c>
      <c r="B23" s="142">
        <f t="shared" si="1"/>
        <v>2500</v>
      </c>
    </row>
    <row r="24" spans="1:2" x14ac:dyDescent="0.25">
      <c r="A24" s="142" t="s">
        <v>315</v>
      </c>
      <c r="B24" s="142">
        <f t="shared" si="1"/>
        <v>1875</v>
      </c>
    </row>
    <row r="25" spans="1:2" x14ac:dyDescent="0.25">
      <c r="A25" s="142" t="s">
        <v>316</v>
      </c>
      <c r="B25" s="142">
        <f t="shared" si="1"/>
        <v>1250</v>
      </c>
    </row>
    <row r="26" spans="1:2" x14ac:dyDescent="0.25">
      <c r="A26" s="142" t="s">
        <v>317</v>
      </c>
      <c r="B26" s="142">
        <f t="shared" si="1"/>
        <v>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1_Решить уравнение</vt:lpstr>
      <vt:lpstr>2_Расчет таблицы</vt:lpstr>
      <vt:lpstr>3_График</vt:lpstr>
      <vt:lpstr>4_Текстовые функции</vt:lpstr>
      <vt:lpstr>5_автомобили</vt:lpstr>
      <vt:lpstr>6_стипендия</vt:lpstr>
      <vt:lpstr>7_Расчет таблицы</vt:lpstr>
      <vt:lpstr>8_Сфетофор</vt:lpstr>
      <vt:lpstr>10_кредит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GOU39</dc:creator>
  <cp:lastModifiedBy>Романов Андрей Сергеевич</cp:lastModifiedBy>
  <cp:lastPrinted>2012-02-02T05:12:34Z</cp:lastPrinted>
  <dcterms:created xsi:type="dcterms:W3CDTF">2012-01-23T11:21:38Z</dcterms:created>
  <dcterms:modified xsi:type="dcterms:W3CDTF">2026-02-11T12:08:30Z</dcterms:modified>
</cp:coreProperties>
</file>