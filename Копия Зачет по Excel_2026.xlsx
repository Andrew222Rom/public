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ov.A.L\Desktop\"/>
    </mc:Choice>
  </mc:AlternateContent>
  <bookViews>
    <workbookView xWindow="0" yWindow="0" windowWidth="38400" windowHeight="19125" activeTab="1"/>
  </bookViews>
  <sheets>
    <sheet name="1_Решить уравнение" sheetId="1" r:id="rId1"/>
    <sheet name="2_Расчет таблицы" sheetId="2" r:id="rId2"/>
    <sheet name="3_График" sheetId="10" r:id="rId3"/>
    <sheet name="4_Текстовые функции" sheetId="9" r:id="rId4"/>
    <sheet name="5_автомобили" sheetId="12" r:id="rId5"/>
    <sheet name="6_стипендия" sheetId="13" r:id="rId6"/>
    <sheet name="7_Расчет таблицы" sheetId="14" r:id="rId7"/>
    <sheet name="8_Сфетофор" sheetId="15" r:id="rId8"/>
    <sheet name="9_Биоритмы" sheetId="16" r:id="rId9"/>
    <sheet name="10_кредит" sheetId="17" r:id="rId10"/>
  </sheets>
  <calcPr calcId="152511"/>
</workbook>
</file>

<file path=xl/calcChain.xml><?xml version="1.0" encoding="utf-8"?>
<calcChain xmlns="http://schemas.openxmlformats.org/spreadsheetml/2006/main">
  <c r="D17" i="15" l="1"/>
  <c r="D18" i="15"/>
  <c r="D16" i="15"/>
  <c r="B13" i="14"/>
  <c r="B15" i="14"/>
  <c r="C15" i="14"/>
  <c r="N15" i="14"/>
  <c r="M15" i="14"/>
  <c r="L15" i="14"/>
  <c r="K15" i="14"/>
  <c r="J15" i="14"/>
  <c r="I15" i="14"/>
  <c r="H15" i="14"/>
  <c r="G15" i="14"/>
  <c r="F15" i="14"/>
  <c r="E15" i="14"/>
  <c r="D15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H17" i="13"/>
  <c r="H33" i="13"/>
  <c r="H32" i="13"/>
  <c r="H31" i="13"/>
  <c r="H30" i="13"/>
  <c r="H29" i="13"/>
  <c r="H28" i="13"/>
  <c r="H26" i="13"/>
  <c r="H27" i="13"/>
  <c r="H25" i="13"/>
  <c r="H24" i="13"/>
  <c r="H22" i="13"/>
  <c r="H20" i="13"/>
  <c r="H19" i="13"/>
  <c r="H18" i="13"/>
  <c r="H21" i="13"/>
  <c r="H23" i="13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I36" i="2"/>
  <c r="H36" i="2"/>
  <c r="G36" i="2"/>
  <c r="I35" i="2"/>
  <c r="H35" i="2"/>
  <c r="G35" i="2"/>
  <c r="I34" i="2"/>
  <c r="H34" i="2"/>
  <c r="G34" i="2"/>
  <c r="I33" i="2"/>
  <c r="H33" i="2"/>
  <c r="G33" i="2"/>
  <c r="I31" i="2"/>
  <c r="H31" i="2"/>
  <c r="G31" i="2"/>
  <c r="I30" i="2"/>
  <c r="H30" i="2"/>
  <c r="G30" i="2"/>
  <c r="I29" i="2"/>
  <c r="H29" i="2"/>
  <c r="G29" i="2"/>
  <c r="I27" i="2"/>
  <c r="H27" i="2"/>
  <c r="G27" i="2"/>
  <c r="I26" i="2"/>
  <c r="H26" i="2"/>
  <c r="G26" i="2"/>
  <c r="I25" i="2"/>
  <c r="H25" i="2"/>
  <c r="G25" i="2"/>
  <c r="I24" i="2"/>
  <c r="H24" i="2"/>
  <c r="G24" i="2"/>
  <c r="I22" i="2"/>
  <c r="H22" i="2"/>
  <c r="G22" i="2"/>
  <c r="I21" i="2"/>
  <c r="H21" i="2"/>
  <c r="G21" i="2"/>
  <c r="I20" i="2"/>
  <c r="H20" i="2"/>
  <c r="G20" i="2"/>
  <c r="I19" i="2"/>
  <c r="H19" i="2"/>
  <c r="G19" i="2"/>
  <c r="I17" i="2"/>
  <c r="H17" i="2"/>
  <c r="G17" i="2"/>
  <c r="I16" i="2"/>
  <c r="H16" i="2"/>
  <c r="G16" i="2"/>
  <c r="H12" i="2"/>
  <c r="F36" i="2"/>
  <c r="F35" i="2"/>
  <c r="F34" i="2"/>
  <c r="F33" i="2"/>
  <c r="F31" i="2"/>
  <c r="F30" i="2"/>
  <c r="F29" i="2"/>
  <c r="F27" i="2"/>
  <c r="F26" i="2"/>
  <c r="F25" i="2"/>
  <c r="F24" i="2"/>
  <c r="F22" i="2"/>
  <c r="F21" i="2"/>
  <c r="F20" i="2"/>
  <c r="F19" i="2"/>
  <c r="F17" i="2"/>
  <c r="F16" i="2"/>
  <c r="G12" i="2"/>
  <c r="F12" i="2"/>
  <c r="G18" i="13" l="1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17" i="13"/>
</calcChain>
</file>

<file path=xl/sharedStrings.xml><?xml version="1.0" encoding="utf-8"?>
<sst xmlns="http://schemas.openxmlformats.org/spreadsheetml/2006/main" count="479" uniqueCount="282">
  <si>
    <t>наименование</t>
  </si>
  <si>
    <t>длина</t>
  </si>
  <si>
    <t>ширина</t>
  </si>
  <si>
    <t>цена</t>
  </si>
  <si>
    <t>высота</t>
  </si>
  <si>
    <t xml:space="preserve">высота </t>
  </si>
  <si>
    <t>площадь поверхности без учета дверей и окон</t>
  </si>
  <si>
    <t>Комната 1</t>
  </si>
  <si>
    <t xml:space="preserve">Размеры комнаты задаются высотой , длиной и шириной . </t>
  </si>
  <si>
    <t>Комната 2</t>
  </si>
  <si>
    <t>Комната 3</t>
  </si>
  <si>
    <t>высота (м)</t>
  </si>
  <si>
    <t>длина (м)</t>
  </si>
  <si>
    <t>ширина(м)</t>
  </si>
  <si>
    <t>обои</t>
  </si>
  <si>
    <t>бумажные</t>
  </si>
  <si>
    <t>длина рулона</t>
  </si>
  <si>
    <t>виниловые</t>
  </si>
  <si>
    <t>флизелиновые</t>
  </si>
  <si>
    <t>под покраску</t>
  </si>
  <si>
    <t xml:space="preserve">текстильные </t>
  </si>
  <si>
    <t>Для ремонта квартиры необходимо приобрести обои.</t>
  </si>
  <si>
    <t>Размеры и стоимость подходящих  по дизайну обоев приведены в таблице:</t>
  </si>
  <si>
    <t>2. стоимость  этих рулонов</t>
  </si>
  <si>
    <t xml:space="preserve">а при раскрое 10% площади рулона уходит на обрезки. </t>
  </si>
  <si>
    <t xml:space="preserve">1. необходимое  количество рулонов  для всех видов обоев </t>
  </si>
  <si>
    <t xml:space="preserve">   (целое число, округленное в большую сторону);</t>
  </si>
  <si>
    <t xml:space="preserve">1. Рассчитать для каждой комнаты: </t>
  </si>
  <si>
    <t xml:space="preserve">2. При этом  учесть, что 15% площади стен комнаты занимают окна и двери, </t>
  </si>
  <si>
    <t>3. Отформатировать таблицу (границы и заливка) на свое усмотрение</t>
  </si>
  <si>
    <t>При изменении размеров комнаты таблица должна автоматически пересчитываться.</t>
  </si>
  <si>
    <t xml:space="preserve">Найти корни уравнения: </t>
  </si>
  <si>
    <t>b) с помощью функции "Подбор параметра".</t>
  </si>
  <si>
    <t>a) графическим способом ;</t>
  </si>
  <si>
    <t xml:space="preserve">    Точность вычисления корней - 5 знаков после запятой.</t>
  </si>
  <si>
    <t>Системный администратор решил придумать логин и пароль каждому пользователю,</t>
  </si>
  <si>
    <t>чтобы разграничить их права пользования базой данных.</t>
  </si>
  <si>
    <t>Логин состоит из первых трех букв фамилии, первой буквы имени, нижнего подчеркивания и количества символов в названии должности.</t>
  </si>
  <si>
    <t>Используя текстовые функции вычислить логин и пароль.</t>
  </si>
  <si>
    <t>Пример</t>
  </si>
  <si>
    <t>№ п/п</t>
  </si>
  <si>
    <t>Фамилия</t>
  </si>
  <si>
    <t>Имя</t>
  </si>
  <si>
    <t>Должность</t>
  </si>
  <si>
    <t>Группа товаров</t>
  </si>
  <si>
    <t>Логин</t>
  </si>
  <si>
    <t>Пароль</t>
  </si>
  <si>
    <t>Борисов</t>
  </si>
  <si>
    <t>Иван</t>
  </si>
  <si>
    <t>менеджер по закупкам</t>
  </si>
  <si>
    <t>Леска для триммера  #BNS-2415</t>
  </si>
  <si>
    <t>БорИ_20</t>
  </si>
  <si>
    <t>BNS-2415_М</t>
  </si>
  <si>
    <t>Гусев</t>
  </si>
  <si>
    <t>Павел</t>
  </si>
  <si>
    <t>менеджер по продажам</t>
  </si>
  <si>
    <t>Леска для триммера  #BNS-2715</t>
  </si>
  <si>
    <t>Комаров</t>
  </si>
  <si>
    <t>Анатолий</t>
  </si>
  <si>
    <t>Леска для триммера  #BNS-3015</t>
  </si>
  <si>
    <t>Комарова</t>
  </si>
  <si>
    <t>Антонина</t>
  </si>
  <si>
    <t>Малышева</t>
  </si>
  <si>
    <t>Лариса</t>
  </si>
  <si>
    <t>руководитель отдела закупок</t>
  </si>
  <si>
    <t>Леска для триммера  #BNS-16189</t>
  </si>
  <si>
    <t>Печкина</t>
  </si>
  <si>
    <t>Наталья</t>
  </si>
  <si>
    <t>бухгалтер</t>
  </si>
  <si>
    <t>Бугхалтерские отчеты  #BU-1</t>
  </si>
  <si>
    <t>Пулькина</t>
  </si>
  <si>
    <t>Оксана</t>
  </si>
  <si>
    <t>Пчелкин</t>
  </si>
  <si>
    <t>генеральный директор</t>
  </si>
  <si>
    <t>Вся информация для чтения  #VI-1</t>
  </si>
  <si>
    <t>Смирнов</t>
  </si>
  <si>
    <t>Раиса</t>
  </si>
  <si>
    <t>главный бухгалтер</t>
  </si>
  <si>
    <t>Бухгалтерские отчеты  #BU-2</t>
  </si>
  <si>
    <t>Степин</t>
  </si>
  <si>
    <t>Петр</t>
  </si>
  <si>
    <t>руководитель отдела продаж</t>
  </si>
  <si>
    <t>Пила цепная электрическая  #BKT-1440</t>
  </si>
  <si>
    <t>Тунцова</t>
  </si>
  <si>
    <t>Ольга</t>
  </si>
  <si>
    <t>Пила цепная электрическая  #BKT-1635</t>
  </si>
  <si>
    <r>
      <t xml:space="preserve">(переменные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и</t>
    </r>
    <r>
      <rPr>
        <sz val="14"/>
        <color theme="1"/>
        <rFont val="Times New Roman"/>
        <family val="1"/>
        <charset val="204"/>
      </rPr>
      <t xml:space="preserve"> </t>
    </r>
    <r>
      <rPr>
        <b/>
        <i/>
        <sz val="14"/>
        <color theme="1"/>
        <rFont val="Times New Roman"/>
        <family val="1"/>
        <charset val="204"/>
      </rPr>
      <t>y</t>
    </r>
    <r>
      <rPr>
        <b/>
        <i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связаны между собой через переменную </t>
    </r>
    <r>
      <rPr>
        <b/>
        <i/>
        <sz val="14"/>
        <color theme="1"/>
        <rFont val="Symbol"/>
        <family val="1"/>
        <charset val="2"/>
      </rPr>
      <t>a</t>
    </r>
    <r>
      <rPr>
        <sz val="12"/>
        <color theme="1"/>
        <rFont val="Times New Roman"/>
        <family val="1"/>
        <charset val="204"/>
      </rPr>
      <t>)</t>
    </r>
  </si>
  <si>
    <r>
      <t xml:space="preserve">Постройте график функции </t>
    </r>
    <r>
      <rPr>
        <b/>
        <i/>
        <sz val="14"/>
        <color theme="1"/>
        <rFont val="Times New Roman"/>
        <family val="1"/>
        <charset val="204"/>
      </rPr>
      <t>y=f(x)</t>
    </r>
    <r>
      <rPr>
        <sz val="12"/>
        <color theme="1"/>
        <rFont val="Times New Roman"/>
        <family val="1"/>
        <charset val="204"/>
      </rPr>
      <t>, которая описывается следующими уравнениями:</t>
    </r>
  </si>
  <si>
    <r>
      <t>a</t>
    </r>
    <r>
      <rPr>
        <sz val="12"/>
        <color theme="1"/>
        <rFont val="Times New Roman"/>
        <family val="1"/>
        <charset val="204"/>
      </rPr>
      <t xml:space="preserve"> меняется в интервале от </t>
    </r>
    <r>
      <rPr>
        <b/>
        <sz val="12"/>
        <color theme="1"/>
        <rFont val="Times New Roman"/>
        <family val="1"/>
        <charset val="204"/>
      </rPr>
      <t>-</t>
    </r>
    <r>
      <rPr>
        <b/>
        <sz val="14"/>
        <color theme="1"/>
        <rFont val="Times New Roman"/>
        <family val="1"/>
        <charset val="204"/>
      </rPr>
      <t>360</t>
    </r>
    <r>
      <rPr>
        <b/>
        <vertAlign val="superscript"/>
        <sz val="14"/>
        <color theme="1"/>
        <rFont val="Times New Roman"/>
        <family val="1"/>
        <charset val="204"/>
      </rPr>
      <t>0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до </t>
    </r>
    <r>
      <rPr>
        <b/>
        <sz val="14"/>
        <color theme="1"/>
        <rFont val="Times New Roman"/>
        <family val="1"/>
        <charset val="204"/>
      </rPr>
      <t>+360</t>
    </r>
    <r>
      <rPr>
        <b/>
        <vertAlign val="superscript"/>
        <sz val="14"/>
        <color theme="1"/>
        <rFont val="Times New Roman"/>
        <family val="1"/>
        <charset val="204"/>
      </rPr>
      <t xml:space="preserve">0 </t>
    </r>
    <r>
      <rPr>
        <sz val="12"/>
        <color theme="1"/>
        <rFont val="Times New Roman"/>
        <family val="1"/>
        <charset val="204"/>
      </rPr>
      <t xml:space="preserve">с шагом </t>
    </r>
    <r>
      <rPr>
        <b/>
        <sz val="14"/>
        <color theme="1"/>
        <rFont val="Times New Roman"/>
        <family val="1"/>
        <charset val="204"/>
      </rPr>
      <t>0,2</t>
    </r>
  </si>
  <si>
    <r>
      <t>x=5*cos (3</t>
    </r>
    <r>
      <rPr>
        <b/>
        <i/>
        <sz val="14"/>
        <color theme="1"/>
        <rFont val="Symbol"/>
        <family val="1"/>
        <charset val="2"/>
      </rPr>
      <t>a</t>
    </r>
    <r>
      <rPr>
        <b/>
        <i/>
        <sz val="14"/>
        <color theme="1"/>
        <rFont val="Times New Roman"/>
        <family val="1"/>
        <charset val="204"/>
      </rPr>
      <t>),</t>
    </r>
  </si>
  <si>
    <r>
      <t>y=5*sin (2</t>
    </r>
    <r>
      <rPr>
        <b/>
        <i/>
        <sz val="14"/>
        <color theme="1"/>
        <rFont val="Symbol"/>
        <family val="1"/>
        <charset val="2"/>
      </rPr>
      <t>a</t>
    </r>
    <r>
      <rPr>
        <b/>
        <i/>
        <sz val="14"/>
        <color theme="1"/>
        <rFont val="Times New Roman"/>
        <family val="1"/>
        <charset val="204"/>
      </rPr>
      <t xml:space="preserve">), </t>
    </r>
  </si>
  <si>
    <t>и первой заглавной буквы в наименовании должности.</t>
  </si>
  <si>
    <t xml:space="preserve">Пароль состоит из  буквенного обозначения, стоящего в "Группе товаров" после знака #, нижнего подчеркивания </t>
  </si>
  <si>
    <t>Сумма денег</t>
  </si>
  <si>
    <t>Оптимальная 
сумма</t>
  </si>
  <si>
    <t>Счетесли</t>
  </si>
  <si>
    <t>Количество</t>
  </si>
  <si>
    <t>Имеется</t>
  </si>
  <si>
    <t>№</t>
  </si>
  <si>
    <t xml:space="preserve">Марка </t>
  </si>
  <si>
    <t>Цвет</t>
  </si>
  <si>
    <t>Год</t>
  </si>
  <si>
    <t>Пробег</t>
  </si>
  <si>
    <t>Стоимость</t>
  </si>
  <si>
    <t>Телефон</t>
  </si>
  <si>
    <t>Результат</t>
  </si>
  <si>
    <t>п/п</t>
  </si>
  <si>
    <t>авто</t>
  </si>
  <si>
    <t>вып.</t>
  </si>
  <si>
    <t>тыс.км</t>
  </si>
  <si>
    <t>хватит/
не хватит</t>
  </si>
  <si>
    <t>ВАЗ-2105</t>
  </si>
  <si>
    <t>зеленый</t>
  </si>
  <si>
    <t>111-55-55</t>
  </si>
  <si>
    <t>рубин</t>
  </si>
  <si>
    <t>154-55-45</t>
  </si>
  <si>
    <t>светло-бежевый</t>
  </si>
  <si>
    <t>458-44-55</t>
  </si>
  <si>
    <t>белый</t>
  </si>
  <si>
    <t>124-45-88</t>
  </si>
  <si>
    <t>457-45-55</t>
  </si>
  <si>
    <t>454-55-55</t>
  </si>
  <si>
    <t>дипломат</t>
  </si>
  <si>
    <t>232-56-44</t>
  </si>
  <si>
    <t>128-45-99</t>
  </si>
  <si>
    <t>777-77-77</t>
  </si>
  <si>
    <t>черный</t>
  </si>
  <si>
    <t>444-44-44</t>
  </si>
  <si>
    <t>ВАЗ-2104</t>
  </si>
  <si>
    <t>458-45-54</t>
  </si>
  <si>
    <t>124-45-65</t>
  </si>
  <si>
    <t>сафари</t>
  </si>
  <si>
    <t>231-45-65</t>
  </si>
  <si>
    <t>565-55-55</t>
  </si>
  <si>
    <t>666-55-99</t>
  </si>
  <si>
    <t>989-44-55</t>
  </si>
  <si>
    <t>888-55-66</t>
  </si>
  <si>
    <t>синий</t>
  </si>
  <si>
    <t>585-89-99</t>
  </si>
  <si>
    <t>124-58-85</t>
  </si>
  <si>
    <t>454-99-88</t>
  </si>
  <si>
    <t>478-56-88</t>
  </si>
  <si>
    <t>ВАЗ-2106</t>
  </si>
  <si>
    <t>валентина</t>
  </si>
  <si>
    <t>466-66-89</t>
  </si>
  <si>
    <t>222-22-33</t>
  </si>
  <si>
    <t>232-56-65</t>
  </si>
  <si>
    <t>241-09-09</t>
  </si>
  <si>
    <t>120-12-12</t>
  </si>
  <si>
    <t>123-33-33</t>
  </si>
  <si>
    <t>бежевый</t>
  </si>
  <si>
    <t>125-66-55</t>
  </si>
  <si>
    <t>126-77-77</t>
  </si>
  <si>
    <t>154-77-88</t>
  </si>
  <si>
    <t>156-77-88</t>
  </si>
  <si>
    <t>156-77-98</t>
  </si>
  <si>
    <t>светло-серый</t>
  </si>
  <si>
    <t>198-90-88</t>
  </si>
  <si>
    <t xml:space="preserve">синий    </t>
  </si>
  <si>
    <t>145-65-65</t>
  </si>
  <si>
    <t>176-87-87</t>
  </si>
  <si>
    <t>132-65-56</t>
  </si>
  <si>
    <t>132-44-66</t>
  </si>
  <si>
    <t>127-88-77</t>
  </si>
  <si>
    <t>199-88-77</t>
  </si>
  <si>
    <t>177-88-34</t>
  </si>
  <si>
    <t>красный</t>
  </si>
  <si>
    <t>154-66-88</t>
  </si>
  <si>
    <t>190-09-09</t>
  </si>
  <si>
    <t>голубой</t>
  </si>
  <si>
    <t>134-67-87</t>
  </si>
  <si>
    <t>333-55-76</t>
  </si>
  <si>
    <t>343-65-65</t>
  </si>
  <si>
    <t>677-88-55</t>
  </si>
  <si>
    <t>366-77-88</t>
  </si>
  <si>
    <t>345-66-99</t>
  </si>
  <si>
    <t>343-55-66</t>
  </si>
  <si>
    <t>233-55-66</t>
  </si>
  <si>
    <t>555-66-77</t>
  </si>
  <si>
    <t>777-66-55</t>
  </si>
  <si>
    <t>серо-голубой</t>
  </si>
  <si>
    <t>223-44-55</t>
  </si>
  <si>
    <t>вишневый</t>
  </si>
  <si>
    <t>231-55-66</t>
  </si>
  <si>
    <t>светло-коричневый</t>
  </si>
  <si>
    <t>564-99-99</t>
  </si>
  <si>
    <t>113-55-66</t>
  </si>
  <si>
    <t>155-66-44</t>
  </si>
  <si>
    <t>188-56-98</t>
  </si>
  <si>
    <t>109-90-99</t>
  </si>
  <si>
    <t>123-55-66</t>
  </si>
  <si>
    <t>ВАЗ-2107</t>
  </si>
  <si>
    <t>155-77-88</t>
  </si>
  <si>
    <t>133-55-77</t>
  </si>
  <si>
    <t>134-66-55</t>
  </si>
  <si>
    <t>165-77-99</t>
  </si>
  <si>
    <t>232-55-77</t>
  </si>
  <si>
    <t>545-66-54</t>
  </si>
  <si>
    <t>565-76-08</t>
  </si>
  <si>
    <t>132-56-78</t>
  </si>
  <si>
    <t>145-87-09</t>
  </si>
  <si>
    <t>145-77-66</t>
  </si>
  <si>
    <t>277-88-09</t>
  </si>
  <si>
    <t>290-09-09</t>
  </si>
  <si>
    <t>234-65-90</t>
  </si>
  <si>
    <t>365-78-77</t>
  </si>
  <si>
    <t>234-65-09</t>
  </si>
  <si>
    <t>154-76-88</t>
  </si>
  <si>
    <t>145-76-87</t>
  </si>
  <si>
    <t>189-98-65</t>
  </si>
  <si>
    <t>234-76-88</t>
  </si>
  <si>
    <t>345-66-88</t>
  </si>
  <si>
    <t>444-55-77</t>
  </si>
  <si>
    <t>555-23-65</t>
  </si>
  <si>
    <t>145-76-88</t>
  </si>
  <si>
    <t>243-65-77</t>
  </si>
  <si>
    <t>Список</t>
  </si>
  <si>
    <t>Дифф.</t>
  </si>
  <si>
    <t>Аналит.</t>
  </si>
  <si>
    <t>Тензор</t>
  </si>
  <si>
    <t>Векторн</t>
  </si>
  <si>
    <t>Теория</t>
  </si>
  <si>
    <t>Общий</t>
  </si>
  <si>
    <t>Стипендия</t>
  </si>
  <si>
    <t xml:space="preserve">Сумма </t>
  </si>
  <si>
    <t>студентов</t>
  </si>
  <si>
    <t>ур-я</t>
  </si>
  <si>
    <t>геометр</t>
  </si>
  <si>
    <t>анализ</t>
  </si>
  <si>
    <t>алгебра</t>
  </si>
  <si>
    <t>групп</t>
  </si>
  <si>
    <t>балл</t>
  </si>
  <si>
    <t>да/нет/повыш</t>
  </si>
  <si>
    <t>стипендии</t>
  </si>
  <si>
    <t>Иванов</t>
  </si>
  <si>
    <t>Петров</t>
  </si>
  <si>
    <t>Сидоров</t>
  </si>
  <si>
    <t>Савельев</t>
  </si>
  <si>
    <t>Смирнова</t>
  </si>
  <si>
    <t>Степанова</t>
  </si>
  <si>
    <t>Васильев</t>
  </si>
  <si>
    <t>Васина</t>
  </si>
  <si>
    <t>Деточкин</t>
  </si>
  <si>
    <t>Ленский</t>
  </si>
  <si>
    <t>Шемуранов</t>
  </si>
  <si>
    <t>Невзоров</t>
  </si>
  <si>
    <t>Ципинов</t>
  </si>
  <si>
    <t>Носов</t>
  </si>
  <si>
    <t>Солнцев</t>
  </si>
  <si>
    <t>Котов</t>
  </si>
  <si>
    <t>Котовский</t>
  </si>
  <si>
    <t xml:space="preserve">Предприятие продает лес. Цена 1 куб. метра  леса составляет 53$. </t>
  </si>
  <si>
    <t xml:space="preserve">Количество леса (в кубах), проданное предприятием за прошлый год, приведено в таблице. </t>
  </si>
  <si>
    <t>Янв</t>
  </si>
  <si>
    <t>Фев</t>
  </si>
  <si>
    <t>Март</t>
  </si>
  <si>
    <t>Апр</t>
  </si>
  <si>
    <t>Май</t>
  </si>
  <si>
    <t>Июнь</t>
  </si>
  <si>
    <t>Июль</t>
  </si>
  <si>
    <t>Авг</t>
  </si>
  <si>
    <t>Сен</t>
  </si>
  <si>
    <t>Окт</t>
  </si>
  <si>
    <t>Ноя</t>
  </si>
  <si>
    <t>Дек</t>
  </si>
  <si>
    <t>С предприятия каждый месяц взимаются налоги в размере  25% от продажи.</t>
  </si>
  <si>
    <t xml:space="preserve">Кроме того, 30% предприятие каждый месяц расходует на зарплату  и другие нужды предприятия. </t>
  </si>
  <si>
    <t xml:space="preserve">Рассчитайте выручку предприятия за каждый месяц и за год в $ и в рублях. </t>
  </si>
  <si>
    <t xml:space="preserve">Если выручка за год превышает 500 000, предприятие тратит 15%  от годовой выручки на </t>
  </si>
  <si>
    <t>на усовершенствования технологии обработки леса, иначе – 10%. </t>
  </si>
  <si>
    <t>В конце каждого года предприятие тратит часть годовой выручки на усовершенствования технологии обработки леса. </t>
  </si>
  <si>
    <t>Текущий курс доллара 29,8 руб.</t>
  </si>
  <si>
    <t xml:space="preserve">Выполните условное форматирование ячеек таблицы таким образом, чтобы при вводе в ячейку А2 </t>
  </si>
  <si>
    <t>поочередно слов красный, желтый, зеленый зажигались соответствующие лампочки светофора.</t>
  </si>
  <si>
    <t xml:space="preserve">Создайте на  листе электронной таблицы изображение светофора с помощью заливки ячеек и автофигур. </t>
  </si>
  <si>
    <t>x</t>
  </si>
  <si>
    <t>y</t>
  </si>
  <si>
    <t>Площадь</t>
  </si>
  <si>
    <t>_</t>
  </si>
  <si>
    <t>Долары</t>
  </si>
  <si>
    <t>Рубли</t>
  </si>
  <si>
    <t>желтый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</si>
</sst>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_-* #,##0.00\ _р_._-;\-* #,##0.00\ _р_._-;_-* &quot;-&quot;??\ _р_._-;_-@_-"/>
    <numFmt numFmtId="167" formatCode="[$$-C09]#,##0"/>
    <numFmt numFmtId="168" formatCode="[$$-409]#,##0"/>
    <numFmt numFmtId="169" formatCode="_-* #,##0\ _р_._-;\-* #,##0\ _р_._-;_-* &quot;-&quot;??\ _р_._-;_-@_-"/>
    <numFmt numFmtId="170" formatCode="0.0"/>
    <numFmt numFmtId="171" formatCode="0.00000"/>
  </numFmts>
  <fonts count="23" x14ac:knownFonts="1">
    <font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1"/>
      <name val="Symbol"/>
      <family val="1"/>
      <charset val="2"/>
    </font>
    <font>
      <b/>
      <i/>
      <sz val="14"/>
      <color theme="1"/>
      <name val="Times New Roman"/>
      <family val="1"/>
      <charset val="204"/>
    </font>
    <font>
      <b/>
      <i/>
      <sz val="14"/>
      <color theme="1"/>
      <name val="Symbol"/>
      <family val="1"/>
      <charset val="2"/>
    </font>
    <font>
      <b/>
      <sz val="14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Arial Cyr"/>
      <family val="2"/>
      <charset val="204"/>
    </font>
    <font>
      <sz val="10"/>
      <color indexed="8"/>
      <name val="Arial Cyr"/>
      <charset val="204"/>
    </font>
    <font>
      <b/>
      <i/>
      <sz val="10"/>
      <name val="Arial Cyr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Arial Cyr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darkGray">
        <fgColor indexed="9"/>
        <bgColor indexed="13"/>
      </patternFill>
    </fill>
    <fill>
      <patternFill patternType="solid">
        <fgColor rgb="FFCCFFCC"/>
        <bgColor indexed="2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15" fillId="0" borderId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 applyAlignment="1">
      <alignment horizontal="left" indent="6"/>
    </xf>
    <xf numFmtId="0" fontId="0" fillId="0" borderId="0" xfId="0" quotePrefix="1"/>
    <xf numFmtId="0" fontId="0" fillId="0" borderId="0" xfId="0" applyNumberFormat="1"/>
    <xf numFmtId="0" fontId="3" fillId="0" borderId="0" xfId="0" applyFont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0" fillId="0" borderId="0" xfId="0" quotePrefix="1" applyAlignment="1">
      <alignment horizontal="center"/>
    </xf>
    <xf numFmtId="0" fontId="2" fillId="2" borderId="11" xfId="0" applyFont="1" applyFill="1" applyBorder="1" applyAlignment="1"/>
    <xf numFmtId="0" fontId="0" fillId="2" borderId="12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4" fillId="0" borderId="0" xfId="0" applyFont="1"/>
    <xf numFmtId="0" fontId="2" fillId="2" borderId="0" xfId="0" applyFont="1" applyFill="1" applyBorder="1" applyAlignment="1"/>
    <xf numFmtId="0" fontId="0" fillId="2" borderId="0" xfId="0" applyFill="1" applyBorder="1"/>
    <xf numFmtId="0" fontId="2" fillId="2" borderId="17" xfId="0" applyFont="1" applyFill="1" applyBorder="1" applyAlignment="1"/>
    <xf numFmtId="0" fontId="0" fillId="2" borderId="18" xfId="0" applyFill="1" applyBorder="1"/>
    <xf numFmtId="0" fontId="2" fillId="2" borderId="0" xfId="0" applyFont="1" applyFill="1" applyBorder="1"/>
    <xf numFmtId="0" fontId="0" fillId="2" borderId="17" xfId="0" applyFill="1" applyBorder="1"/>
    <xf numFmtId="0" fontId="0" fillId="2" borderId="14" xfId="0" applyFill="1" applyBorder="1"/>
    <xf numFmtId="0" fontId="2" fillId="2" borderId="15" xfId="0" applyFont="1" applyFill="1" applyBorder="1" applyAlignment="1"/>
    <xf numFmtId="0" fontId="5" fillId="0" borderId="0" xfId="1"/>
    <xf numFmtId="0" fontId="6" fillId="0" borderId="0" xfId="1" applyFont="1"/>
    <xf numFmtId="0" fontId="7" fillId="0" borderId="0" xfId="1" applyFont="1"/>
    <xf numFmtId="0" fontId="5" fillId="4" borderId="1" xfId="1" applyFill="1" applyBorder="1"/>
    <xf numFmtId="0" fontId="2" fillId="0" borderId="0" xfId="0" applyFont="1" applyAlignment="1">
      <alignment horizontal="justify"/>
    </xf>
    <xf numFmtId="0" fontId="2" fillId="0" borderId="0" xfId="0" applyFont="1" applyAlignment="1">
      <alignment horizontal="left"/>
    </xf>
    <xf numFmtId="0" fontId="5" fillId="2" borderId="11" xfId="1" applyFill="1" applyBorder="1"/>
    <xf numFmtId="0" fontId="5" fillId="2" borderId="12" xfId="1" applyFill="1" applyBorder="1"/>
    <xf numFmtId="0" fontId="5" fillId="2" borderId="13" xfId="1" applyFill="1" applyBorder="1"/>
    <xf numFmtId="0" fontId="5" fillId="2" borderId="17" xfId="1" applyFill="1" applyBorder="1"/>
    <xf numFmtId="0" fontId="5" fillId="2" borderId="0" xfId="1" applyFill="1" applyBorder="1"/>
    <xf numFmtId="0" fontId="5" fillId="2" borderId="18" xfId="1" applyFill="1" applyBorder="1"/>
    <xf numFmtId="0" fontId="5" fillId="2" borderId="14" xfId="1" applyFill="1" applyBorder="1"/>
    <xf numFmtId="0" fontId="5" fillId="2" borderId="15" xfId="1" applyFill="1" applyBorder="1"/>
    <xf numFmtId="0" fontId="5" fillId="2" borderId="16" xfId="1" applyFill="1" applyBorder="1"/>
    <xf numFmtId="0" fontId="5" fillId="0" borderId="1" xfId="1" applyFill="1" applyBorder="1"/>
    <xf numFmtId="0" fontId="2" fillId="2" borderId="11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justify"/>
    </xf>
    <xf numFmtId="0" fontId="2" fillId="2" borderId="17" xfId="0" applyFont="1" applyFill="1" applyBorder="1" applyAlignment="1">
      <alignment horizontal="left"/>
    </xf>
    <xf numFmtId="0" fontId="10" fillId="2" borderId="14" xfId="0" applyFont="1" applyFill="1" applyBorder="1" applyAlignment="1">
      <alignment horizontal="left"/>
    </xf>
    <xf numFmtId="0" fontId="2" fillId="2" borderId="11" xfId="0" applyFont="1" applyFill="1" applyBorder="1"/>
    <xf numFmtId="0" fontId="2" fillId="2" borderId="17" xfId="0" applyFont="1" applyFill="1" applyBorder="1"/>
    <xf numFmtId="0" fontId="2" fillId="2" borderId="14" xfId="0" applyFont="1" applyFill="1" applyBorder="1"/>
    <xf numFmtId="0" fontId="2" fillId="0" borderId="0" xfId="0" applyNumberFormat="1" applyFont="1" applyFill="1"/>
    <xf numFmtId="0" fontId="0" fillId="0" borderId="0" xfId="0" applyFill="1"/>
    <xf numFmtId="0" fontId="2" fillId="2" borderId="17" xfId="0" applyNumberFormat="1" applyFont="1" applyFill="1" applyBorder="1"/>
    <xf numFmtId="0" fontId="2" fillId="2" borderId="14" xfId="0" applyNumberFormat="1" applyFont="1" applyFill="1" applyBorder="1"/>
    <xf numFmtId="0" fontId="2" fillId="0" borderId="0" xfId="0" applyNumberFormat="1" applyFont="1" applyFill="1" applyBorder="1"/>
    <xf numFmtId="0" fontId="2" fillId="2" borderId="19" xfId="0" applyNumberFormat="1" applyFont="1" applyFill="1" applyBorder="1"/>
    <xf numFmtId="0" fontId="0" fillId="2" borderId="21" xfId="0" applyFill="1" applyBorder="1"/>
    <xf numFmtId="0" fontId="0" fillId="2" borderId="20" xfId="0" applyFill="1" applyBorder="1"/>
    <xf numFmtId="0" fontId="15" fillId="0" borderId="0" xfId="2"/>
    <xf numFmtId="166" fontId="0" fillId="0" borderId="0" xfId="3" applyNumberFormat="1" applyFont="1"/>
    <xf numFmtId="166" fontId="0" fillId="0" borderId="0" xfId="3" applyNumberFormat="1" applyFont="1" applyBorder="1"/>
    <xf numFmtId="0" fontId="15" fillId="0" borderId="0" xfId="2" applyBorder="1"/>
    <xf numFmtId="0" fontId="16" fillId="5" borderId="22" xfId="2" applyFont="1" applyFill="1" applyBorder="1"/>
    <xf numFmtId="168" fontId="16" fillId="5" borderId="22" xfId="2" applyNumberFormat="1" applyFont="1" applyFill="1" applyBorder="1"/>
    <xf numFmtId="168" fontId="15" fillId="0" borderId="0" xfId="2" applyNumberFormat="1"/>
    <xf numFmtId="0" fontId="15" fillId="0" borderId="0" xfId="2" applyFill="1" applyBorder="1"/>
    <xf numFmtId="169" fontId="17" fillId="6" borderId="23" xfId="3" applyNumberFormat="1" applyFont="1" applyFill="1" applyBorder="1" applyAlignment="1"/>
    <xf numFmtId="169" fontId="17" fillId="6" borderId="0" xfId="3" applyNumberFormat="1" applyFont="1" applyFill="1" applyBorder="1" applyAlignment="1"/>
    <xf numFmtId="0" fontId="18" fillId="7" borderId="22" xfId="2" applyFont="1" applyFill="1" applyBorder="1" applyAlignment="1">
      <alignment horizontal="center" vertical="center"/>
    </xf>
    <xf numFmtId="167" fontId="18" fillId="7" borderId="22" xfId="2" applyNumberFormat="1" applyFont="1" applyFill="1" applyBorder="1" applyAlignment="1">
      <alignment horizontal="center" vertical="center"/>
    </xf>
    <xf numFmtId="166" fontId="18" fillId="7" borderId="22" xfId="3" applyNumberFormat="1" applyFont="1" applyFill="1" applyBorder="1" applyAlignment="1">
      <alignment horizontal="center" vertical="center" wrapText="1"/>
    </xf>
    <xf numFmtId="0" fontId="18" fillId="7" borderId="22" xfId="2" applyFont="1" applyFill="1" applyBorder="1" applyAlignment="1">
      <alignment horizontal="right"/>
    </xf>
    <xf numFmtId="166" fontId="18" fillId="7" borderId="22" xfId="3" applyNumberFormat="1" applyFont="1" applyFill="1" applyBorder="1" applyAlignment="1">
      <alignment horizontal="right"/>
    </xf>
    <xf numFmtId="166" fontId="18" fillId="7" borderId="22" xfId="3" applyNumberFormat="1" applyFont="1" applyFill="1" applyBorder="1" applyAlignment="1">
      <alignment horizontal="center" vertical="center"/>
    </xf>
    <xf numFmtId="0" fontId="18" fillId="3" borderId="22" xfId="2" applyFont="1" applyFill="1" applyBorder="1" applyAlignment="1">
      <alignment horizontal="center" vertical="center"/>
    </xf>
    <xf numFmtId="0" fontId="18" fillId="3" borderId="22" xfId="2" applyFont="1" applyFill="1" applyBorder="1" applyAlignment="1">
      <alignment horizontal="center" vertical="center" wrapText="1"/>
    </xf>
    <xf numFmtId="0" fontId="17" fillId="0" borderId="22" xfId="2" applyFont="1" applyFill="1" applyBorder="1" applyAlignment="1"/>
    <xf numFmtId="168" fontId="17" fillId="0" borderId="22" xfId="3" applyNumberFormat="1" applyFont="1" applyFill="1" applyBorder="1" applyAlignment="1"/>
    <xf numFmtId="169" fontId="17" fillId="0" borderId="22" xfId="3" applyNumberFormat="1" applyFont="1" applyFill="1" applyBorder="1" applyAlignment="1"/>
    <xf numFmtId="168" fontId="17" fillId="0" borderId="22" xfId="2" applyNumberFormat="1" applyFont="1" applyFill="1" applyBorder="1" applyAlignment="1"/>
    <xf numFmtId="0" fontId="16" fillId="2" borderId="0" xfId="2" applyFont="1" applyFill="1" applyAlignment="1">
      <alignment horizontal="left" vertical="top"/>
    </xf>
    <xf numFmtId="0" fontId="19" fillId="2" borderId="0" xfId="2" applyFont="1" applyFill="1" applyAlignment="1">
      <alignment horizontal="left" vertical="top"/>
    </xf>
    <xf numFmtId="0" fontId="20" fillId="2" borderId="0" xfId="2" applyFont="1" applyFill="1" applyAlignment="1">
      <alignment horizontal="left" vertical="top"/>
    </xf>
    <xf numFmtId="0" fontId="16" fillId="2" borderId="1" xfId="2" applyFont="1" applyFill="1" applyBorder="1"/>
    <xf numFmtId="170" fontId="16" fillId="0" borderId="1" xfId="2" applyNumberFormat="1" applyFont="1" applyBorder="1"/>
    <xf numFmtId="170" fontId="16" fillId="0" borderId="1" xfId="4" applyNumberFormat="1" applyFont="1" applyBorder="1"/>
    <xf numFmtId="0" fontId="15" fillId="0" borderId="1" xfId="2" applyBorder="1"/>
    <xf numFmtId="170" fontId="15" fillId="0" borderId="1" xfId="2" applyNumberFormat="1" applyBorder="1"/>
    <xf numFmtId="0" fontId="21" fillId="0" borderId="0" xfId="2" applyFont="1" applyFill="1"/>
    <xf numFmtId="0" fontId="15" fillId="0" borderId="0" xfId="2" applyFill="1"/>
    <xf numFmtId="0" fontId="22" fillId="0" borderId="0" xfId="2" applyFont="1" applyFill="1"/>
    <xf numFmtId="0" fontId="3" fillId="2" borderId="24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3" fillId="2" borderId="26" xfId="0" applyFont="1" applyFill="1" applyBorder="1" applyAlignment="1">
      <alignment horizontal="left" vertical="top" wrapText="1"/>
    </xf>
    <xf numFmtId="0" fontId="3" fillId="2" borderId="27" xfId="0" applyFont="1" applyFill="1" applyBorder="1" applyAlignment="1">
      <alignment horizontal="left" vertical="top" wrapText="1"/>
    </xf>
    <xf numFmtId="0" fontId="3" fillId="2" borderId="2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2" borderId="17" xfId="0" applyFont="1" applyFill="1" applyBorder="1"/>
    <xf numFmtId="0" fontId="3" fillId="2" borderId="14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8" fillId="0" borderId="0" xfId="0" applyFont="1" applyAlignment="1">
      <alignment horizontal="justify"/>
    </xf>
    <xf numFmtId="171" fontId="0" fillId="0" borderId="0" xfId="0" applyNumberFormat="1"/>
    <xf numFmtId="0" fontId="0" fillId="0" borderId="1" xfId="0" applyBorder="1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</cellXfs>
  <cellStyles count="5">
    <cellStyle name="Денежный 2" xfId="4"/>
    <cellStyle name="Обычный" xfId="0" builtinId="0"/>
    <cellStyle name="Обычный 2" xfId="1"/>
    <cellStyle name="Обычный 3" xfId="2"/>
    <cellStyle name="Финансовый 2" xfId="3"/>
  </cellStyles>
  <dxfs count="38">
    <dxf>
      <font>
        <color rgb="FF00B050"/>
      </font>
      <fill>
        <patternFill>
          <bgColor rgb="FF00B05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FF00"/>
      </font>
      <fill>
        <patternFill>
          <bgColor rgb="FFFFFF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92D050"/>
      </font>
      <fill>
        <patternFill>
          <bgColor rgb="FF92D05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FF00"/>
      </font>
      <fill>
        <patternFill>
          <bgColor rgb="FFFFFF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FF00"/>
      </font>
      <fill>
        <patternFill>
          <bgColor rgb="FFFFFF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</dxfs>
  <tableStyles count="0" defaultTableStyle="TableStyleMedium9" defaultPivotStyle="PivotStyleLight16"/>
  <colors>
    <mruColors>
      <color rgb="FFFFFFCC"/>
      <color rgb="FFCCFFCC"/>
      <color rgb="FFECF1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732608"/>
        <c:axId val="1197733152"/>
      </c:lineChart>
      <c:catAx>
        <c:axId val="119773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7733152"/>
        <c:crosses val="autoZero"/>
        <c:auto val="1"/>
        <c:lblAlgn val="ctr"/>
        <c:lblOffset val="100"/>
        <c:noMultiLvlLbl val="0"/>
      </c:catAx>
      <c:valAx>
        <c:axId val="11977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77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5</xdr:row>
          <xdr:rowOff>171450</xdr:rowOff>
        </xdr:from>
        <xdr:to>
          <xdr:col>2</xdr:col>
          <xdr:colOff>962025</xdr:colOff>
          <xdr:row>8</xdr:row>
          <xdr:rowOff>57150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</xdr:row>
      <xdr:rowOff>100012</xdr:rowOff>
    </xdr:from>
    <xdr:to>
      <xdr:col>16</xdr:col>
      <xdr:colOff>28575</xdr:colOff>
      <xdr:row>14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28574</xdr:rowOff>
    </xdr:from>
    <xdr:to>
      <xdr:col>8</xdr:col>
      <xdr:colOff>0</xdr:colOff>
      <xdr:row>10</xdr:row>
      <xdr:rowOff>95249</xdr:rowOff>
    </xdr:to>
    <xdr:sp macro="" textlink="">
      <xdr:nvSpPr>
        <xdr:cNvPr id="2" name="Текст 1"/>
        <xdr:cNvSpPr txBox="1">
          <a:spLocks noChangeArrowheads="1"/>
        </xdr:cNvSpPr>
      </xdr:nvSpPr>
      <xdr:spPr bwMode="auto">
        <a:xfrm>
          <a:off x="0" y="28574"/>
          <a:ext cx="7486650" cy="1971675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 представленной ниже таблице имеются данные о большом количестве подержанных автомобилей. Клиент имеет некоторую сумму денег (красная ячейка 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D13) </a:t>
          </a: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меньше 1000$ (введите в ячейку начальное значение 850), остальные деньги собирается брать в кредит . Для получения кредита необходимо иметь 25% стоимости машины. На какой из автомобилей ему дадут кредит? Напротив каждого автомобиля  требуется получить пометку </a:t>
          </a:r>
          <a:r>
            <a:rPr lang="ru-RU" sz="1200" b="1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Дадут/Не дадут.</a:t>
          </a:r>
          <a:endParaRPr lang="ru-RU" sz="1200" b="0" i="0" u="none" strike="noStrike" baseline="0">
            <a:solidFill>
              <a:sysClr val="windowText" lastClr="000000"/>
            </a:solidFill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FF"/>
            </a:solidFill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Вычислить на сколько автомобилей дадут клиенту кредит при суммах 850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$, 950$, 1000 $</a:t>
          </a: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, 1200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$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Результаты ввети в соответствующие ячейки снизу.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Вычислить сумму при которой клиент сможет взять любой из б/у автомобилей данного автосалона.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Ввести результат в ячейку 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F14</a:t>
          </a: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.</a:t>
          </a: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FF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38099</xdr:rowOff>
    </xdr:from>
    <xdr:to>
      <xdr:col>8</xdr:col>
      <xdr:colOff>781049</xdr:colOff>
      <xdr:row>9</xdr:row>
      <xdr:rowOff>161925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4" y="38099"/>
          <a:ext cx="8277225" cy="1838326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Представленная ниже таблица должна помочь администрации института определить количество студентов заслуживших получать стипендию по результатам сессии. </a:t>
          </a:r>
        </a:p>
        <a:p>
          <a:pPr algn="l" rtl="0">
            <a:defRPr sz="1000"/>
          </a:pP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Общий балл - все баллы набранные студентами на экзаменах.</a:t>
          </a:r>
        </a:p>
        <a:p>
          <a:pPr algn="l" rtl="0">
            <a:defRPr sz="1000"/>
          </a:pP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Для начисления стипендии используйте следующие критерии: </a:t>
          </a: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менее 19-ти баллов - стипендию не плучает, от 19 до 23,5 баллов включительно обычная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 стипендия, более 23,5</a:t>
          </a: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 баллов  - повышенная стипендия. В столбце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 </a:t>
          </a:r>
          <a:r>
            <a:rPr lang="en-US" sz="1000" b="0" i="0" strike="noStrike" baseline="0">
              <a:solidFill>
                <a:sysClr val="windowText" lastClr="000000"/>
              </a:solidFill>
              <a:latin typeface="Arial Cyr"/>
            </a:rPr>
            <a:t>H 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выведите результаты в текстовом виде (да, нет, повышенная).</a:t>
          </a:r>
        </a:p>
        <a:p>
          <a:pPr algn="l" rtl="0">
            <a:defRPr sz="1000"/>
          </a:pPr>
          <a:endParaRPr lang="ru-RU" sz="1000" b="0" i="0" strike="noStrike" baseline="0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 столбце </a:t>
          </a:r>
          <a:r>
            <a:rPr lang="en-US" sz="1000" b="0" i="0" strike="noStrike" baseline="0">
              <a:solidFill>
                <a:sysClr val="windowText" lastClr="000000"/>
              </a:solidFill>
              <a:latin typeface="Arial Cyr"/>
            </a:rPr>
            <a:t>I 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вычислите стипендию студентов. Руководство института приняло решение, что обычная стипендия будет составлять 30% от МРОТ (минимального размера оплаты труда), повышенная 65% МРОТ.</a:t>
          </a:r>
        </a:p>
        <a:p>
          <a:pPr algn="l" rtl="0">
            <a:defRPr sz="1000"/>
          </a:pP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 2012 г. по закону минимальный размер оплаты труда составляет 11300 руб.</a:t>
          </a: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endParaRPr lang="ru-RU" sz="1000" b="0" i="0" strike="noStrike">
            <a:solidFill>
              <a:srgbClr val="0000FF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Отредактируй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те строку заголовков таблицы. Заголовки таблицы должны содержаться в одной строке. </a:t>
          </a: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123825</xdr:rowOff>
    </xdr:from>
    <xdr:to>
      <xdr:col>9</xdr:col>
      <xdr:colOff>9525</xdr:colOff>
      <xdr:row>12</xdr:row>
      <xdr:rowOff>76200</xdr:rowOff>
    </xdr:to>
    <xdr:grpSp>
      <xdr:nvGrpSpPr>
        <xdr:cNvPr id="7169" name="Group 1"/>
        <xdr:cNvGrpSpPr>
          <a:grpSpLocks/>
        </xdr:cNvGrpSpPr>
      </xdr:nvGrpSpPr>
      <xdr:grpSpPr bwMode="auto">
        <a:xfrm>
          <a:off x="800100" y="838200"/>
          <a:ext cx="4695825" cy="1752600"/>
          <a:chOff x="1341" y="3114"/>
          <a:chExt cx="9013" cy="4140"/>
        </a:xfrm>
      </xdr:grpSpPr>
      <xdr:pic>
        <xdr:nvPicPr>
          <xdr:cNvPr id="7172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341" y="3114"/>
            <a:ext cx="2587" cy="4140"/>
          </a:xfrm>
          <a:prstGeom prst="rect">
            <a:avLst/>
          </a:prstGeom>
          <a:noFill/>
        </xdr:spPr>
      </xdr:pic>
      <xdr:pic>
        <xdr:nvPicPr>
          <xdr:cNvPr id="7171" name="Picture 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581" y="3114"/>
            <a:ext cx="2600" cy="4140"/>
          </a:xfrm>
          <a:prstGeom prst="rect">
            <a:avLst/>
          </a:prstGeom>
          <a:noFill/>
        </xdr:spPr>
      </xdr:pic>
      <xdr:pic>
        <xdr:nvPicPr>
          <xdr:cNvPr id="7170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7821" y="3114"/>
            <a:ext cx="2533" cy="4140"/>
          </a:xfrm>
          <a:prstGeom prst="rect">
            <a:avLst/>
          </a:prstGeom>
          <a:noFill/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66096</xdr:colOff>
      <xdr:row>20</xdr:row>
      <xdr:rowOff>47625</xdr:rowOff>
    </xdr:to>
    <xdr:pic>
      <xdr:nvPicPr>
        <xdr:cNvPr id="3" name="Рисунок 2"/>
        <xdr:cNvPicPr/>
      </xdr:nvPicPr>
      <xdr:blipFill>
        <a:blip xmlns:r="http://schemas.openxmlformats.org/officeDocument/2006/relationships" r:embed="rId1"/>
        <a:srcRect l="26401" t="17836" r="19188" b="39278"/>
        <a:stretch>
          <a:fillRect/>
        </a:stretch>
      </xdr:blipFill>
      <xdr:spPr bwMode="auto">
        <a:xfrm>
          <a:off x="0" y="0"/>
          <a:ext cx="6162096" cy="388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142875</xdr:rowOff>
    </xdr:from>
    <xdr:to>
      <xdr:col>10</xdr:col>
      <xdr:colOff>504825</xdr:colOff>
      <xdr:row>26</xdr:row>
      <xdr:rowOff>28575</xdr:rowOff>
    </xdr:to>
    <xdr:pic>
      <xdr:nvPicPr>
        <xdr:cNvPr id="2" name="Рисунок 1"/>
        <xdr:cNvPicPr/>
      </xdr:nvPicPr>
      <xdr:blipFill>
        <a:blip xmlns:r="http://schemas.openxmlformats.org/officeDocument/2006/relationships" r:embed="rId1"/>
        <a:srcRect l="24520" t="16834" r="19656" b="27856"/>
        <a:stretch>
          <a:fillRect/>
        </a:stretch>
      </xdr:blipFill>
      <xdr:spPr bwMode="auto">
        <a:xfrm>
          <a:off x="66675" y="142875"/>
          <a:ext cx="6534150" cy="483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2" name="Таблица2" displayName="Таблица2" ref="F15:I36" totalsRowShown="0" headerRowCellStyle="Обычный" dataCellStyle="Обычный">
  <autoFilter ref="F15:I36"/>
  <tableColumns count="4">
    <tableColumn id="1" name="Площадь" dataCellStyle="Обычный">
      <calculatedColumnFormula>($B15*$C15)/100*110</calculatedColumnFormula>
    </tableColumn>
    <tableColumn id="3" name="Комната 1" dataCellStyle="Обычный">
      <calculatedColumnFormula>ROUNDUP(F$12/$F16,)*$D15</calculatedColumnFormula>
    </tableColumn>
    <tableColumn id="4" name="Комната 2" dataCellStyle="Обычный">
      <calculatedColumnFormula>ROUNDUP(G$12/$F16,)*$D15</calculatedColumnFormula>
    </tableColumn>
    <tableColumn id="5" name="Комната 3" dataCellStyle="Обычный">
      <calculatedColumnFormula>ROUNDUP(H$12/$F16,)*$D15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workbookViewId="0">
      <selection activeCell="C27" sqref="C27"/>
    </sheetView>
  </sheetViews>
  <sheetFormatPr defaultRowHeight="15" x14ac:dyDescent="0.25"/>
  <cols>
    <col min="2" max="2" width="9.140625" customWidth="1"/>
    <col min="3" max="3" width="14.85546875" customWidth="1"/>
  </cols>
  <sheetData>
    <row r="1" spans="1:7" ht="18.75" x14ac:dyDescent="0.3">
      <c r="A1" s="1"/>
      <c r="C1" s="13"/>
    </row>
    <row r="2" spans="1:7" ht="15.75" x14ac:dyDescent="0.25">
      <c r="A2" s="14" t="s">
        <v>31</v>
      </c>
      <c r="B2" s="15"/>
      <c r="C2" s="15"/>
      <c r="D2" s="15"/>
      <c r="E2" s="15"/>
      <c r="F2" s="15"/>
      <c r="G2" s="16"/>
    </row>
    <row r="3" spans="1:7" ht="15.75" x14ac:dyDescent="0.25">
      <c r="A3" s="34"/>
      <c r="B3" s="36" t="s">
        <v>33</v>
      </c>
      <c r="C3" s="33"/>
      <c r="D3" s="33"/>
      <c r="E3" s="33"/>
      <c r="F3" s="33"/>
      <c r="G3" s="35"/>
    </row>
    <row r="4" spans="1:7" ht="15.75" x14ac:dyDescent="0.25">
      <c r="A4" s="37"/>
      <c r="B4" s="32" t="s">
        <v>32</v>
      </c>
      <c r="C4" s="33"/>
      <c r="D4" s="33"/>
      <c r="E4" s="33"/>
      <c r="F4" s="33"/>
      <c r="G4" s="35"/>
    </row>
    <row r="5" spans="1:7" ht="15.75" x14ac:dyDescent="0.25">
      <c r="A5" s="38"/>
      <c r="B5" s="39" t="s">
        <v>34</v>
      </c>
      <c r="C5" s="17"/>
      <c r="D5" s="17"/>
      <c r="E5" s="17"/>
      <c r="F5" s="17"/>
      <c r="G5" s="18"/>
    </row>
    <row r="12" spans="1:7" x14ac:dyDescent="0.25">
      <c r="A12" t="s">
        <v>275</v>
      </c>
      <c r="B12" t="s">
        <v>276</v>
      </c>
    </row>
    <row r="13" spans="1:7" x14ac:dyDescent="0.25">
      <c r="A13">
        <v>1</v>
      </c>
      <c r="B13" s="124"/>
    </row>
    <row r="14" spans="1:7" x14ac:dyDescent="0.25">
      <c r="A14">
        <v>2</v>
      </c>
      <c r="B14" s="124"/>
    </row>
    <row r="15" spans="1:7" x14ac:dyDescent="0.25">
      <c r="A15">
        <v>3</v>
      </c>
      <c r="B15" s="124"/>
    </row>
    <row r="16" spans="1:7" x14ac:dyDescent="0.25">
      <c r="A16">
        <v>4</v>
      </c>
      <c r="B16" s="124"/>
    </row>
    <row r="17" spans="1:3" x14ac:dyDescent="0.25">
      <c r="A17">
        <v>5</v>
      </c>
      <c r="B17" s="124"/>
    </row>
    <row r="20" spans="1:3" x14ac:dyDescent="0.25">
      <c r="A20" t="s">
        <v>275</v>
      </c>
      <c r="B20" t="s">
        <v>276</v>
      </c>
    </row>
    <row r="31" spans="1:3" x14ac:dyDescent="0.25">
      <c r="C31" s="2"/>
    </row>
    <row r="32" spans="1:3" x14ac:dyDescent="0.25">
      <c r="C32" s="2"/>
    </row>
    <row r="35" spans="3:3" x14ac:dyDescent="0.25">
      <c r="C35" s="2"/>
    </row>
    <row r="36" spans="3:3" x14ac:dyDescent="0.25">
      <c r="C36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</sheetData>
  <dataConsolidate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>
              <from>
                <xdr:col>0</xdr:col>
                <xdr:colOff>85725</xdr:colOff>
                <xdr:row>5</xdr:row>
                <xdr:rowOff>171450</xdr:rowOff>
              </from>
              <to>
                <xdr:col>2</xdr:col>
                <xdr:colOff>962025</xdr:colOff>
                <xdr:row>8</xdr:row>
                <xdr:rowOff>57150</xdr:rowOff>
              </to>
            </anchor>
          </objectPr>
        </oleObject>
      </mc:Choice>
      <mc:Fallback>
        <oleObject progId="Equation.3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workbookViewId="0">
      <selection activeCell="G17" sqref="G17"/>
    </sheetView>
  </sheetViews>
  <sheetFormatPr defaultRowHeight="15" x14ac:dyDescent="0.25"/>
  <cols>
    <col min="1" max="1" width="10.85546875" customWidth="1"/>
    <col min="2" max="2" width="10.42578125" customWidth="1"/>
    <col min="3" max="3" width="11.5703125" customWidth="1"/>
    <col min="5" max="5" width="10.140625" customWidth="1"/>
    <col min="6" max="6" width="11.85546875" customWidth="1"/>
    <col min="7" max="7" width="27.42578125" customWidth="1"/>
    <col min="8" max="8" width="25.28515625" customWidth="1"/>
    <col min="9" max="9" width="31.28515625" customWidth="1"/>
    <col min="10" max="10" width="11.85546875" customWidth="1"/>
    <col min="11" max="11" width="10.42578125" customWidth="1"/>
    <col min="13" max="13" width="10" customWidth="1"/>
  </cols>
  <sheetData>
    <row r="1" spans="1:13" ht="18.75" x14ac:dyDescent="0.3">
      <c r="A1" s="31"/>
    </row>
    <row r="2" spans="1:13" ht="15.75" x14ac:dyDescent="0.25">
      <c r="A2" s="14" t="s">
        <v>21</v>
      </c>
      <c r="B2" s="15"/>
      <c r="C2" s="15"/>
      <c r="D2" s="15"/>
      <c r="E2" s="15"/>
      <c r="F2" s="15"/>
      <c r="G2" s="15"/>
      <c r="H2" s="16"/>
    </row>
    <row r="3" spans="1:13" ht="15.75" x14ac:dyDescent="0.25">
      <c r="A3" s="65" t="s">
        <v>8</v>
      </c>
      <c r="B3" s="33"/>
      <c r="C3" s="33"/>
      <c r="D3" s="33"/>
      <c r="E3" s="33"/>
      <c r="F3" s="33"/>
      <c r="G3" s="33"/>
      <c r="H3" s="35"/>
    </row>
    <row r="4" spans="1:13" ht="15.75" x14ac:dyDescent="0.25">
      <c r="A4" s="66" t="s">
        <v>30</v>
      </c>
      <c r="B4" s="17"/>
      <c r="C4" s="17"/>
      <c r="D4" s="17"/>
      <c r="E4" s="17"/>
      <c r="F4" s="17"/>
      <c r="G4" s="17"/>
      <c r="H4" s="18"/>
    </row>
    <row r="5" spans="1:13" ht="16.5" thickBot="1" x14ac:dyDescent="0.3">
      <c r="A5" s="63"/>
      <c r="B5" s="64"/>
      <c r="C5" s="64"/>
      <c r="D5" s="64"/>
      <c r="E5" s="64"/>
      <c r="F5" s="64"/>
      <c r="G5" s="64"/>
      <c r="H5" s="64"/>
    </row>
    <row r="6" spans="1:13" s="4" customFormat="1" x14ac:dyDescent="0.25">
      <c r="A6" s="128" t="s">
        <v>7</v>
      </c>
      <c r="B6" s="129"/>
      <c r="C6" s="130"/>
      <c r="F6" s="128" t="s">
        <v>9</v>
      </c>
      <c r="G6" s="129"/>
      <c r="H6" s="130"/>
      <c r="K6" s="128" t="s">
        <v>10</v>
      </c>
      <c r="L6" s="129"/>
      <c r="M6" s="130"/>
    </row>
    <row r="7" spans="1:13" s="4" customFormat="1" x14ac:dyDescent="0.25">
      <c r="A7" s="5" t="s">
        <v>11</v>
      </c>
      <c r="B7" s="6" t="s">
        <v>12</v>
      </c>
      <c r="C7" s="7" t="s">
        <v>13</v>
      </c>
      <c r="F7" s="5" t="s">
        <v>11</v>
      </c>
      <c r="G7" s="6" t="s">
        <v>12</v>
      </c>
      <c r="H7" s="7" t="s">
        <v>13</v>
      </c>
      <c r="K7" s="5" t="s">
        <v>11</v>
      </c>
      <c r="L7" s="6" t="s">
        <v>12</v>
      </c>
      <c r="M7" s="7" t="s">
        <v>13</v>
      </c>
    </row>
    <row r="8" spans="1:13" s="4" customFormat="1" ht="15.75" thickBot="1" x14ac:dyDescent="0.3">
      <c r="A8" s="8">
        <v>3</v>
      </c>
      <c r="B8" s="9">
        <v>5</v>
      </c>
      <c r="C8" s="10">
        <v>4</v>
      </c>
      <c r="F8" s="8">
        <v>3</v>
      </c>
      <c r="G8" s="9">
        <v>6.5</v>
      </c>
      <c r="H8" s="10">
        <v>4.5</v>
      </c>
      <c r="K8" s="8">
        <v>3</v>
      </c>
      <c r="L8" s="9">
        <v>4</v>
      </c>
      <c r="M8" s="10">
        <v>3.8</v>
      </c>
    </row>
    <row r="9" spans="1:13" s="4" customFormat="1" x14ac:dyDescent="0.25">
      <c r="A9" s="11"/>
      <c r="B9" s="11"/>
      <c r="C9" s="11"/>
      <c r="D9" s="12"/>
      <c r="E9" s="11"/>
      <c r="F9" s="11"/>
      <c r="G9" s="11"/>
      <c r="H9" s="12"/>
      <c r="I9" s="11"/>
      <c r="J9" s="11"/>
      <c r="K9" s="11"/>
    </row>
    <row r="10" spans="1:13" ht="15.75" x14ac:dyDescent="0.25">
      <c r="A10" s="68" t="s">
        <v>22</v>
      </c>
      <c r="B10" s="69"/>
      <c r="C10" s="69"/>
      <c r="D10" s="69"/>
      <c r="E10" s="69"/>
      <c r="F10" s="69"/>
      <c r="G10" s="69"/>
      <c r="H10" s="70"/>
    </row>
    <row r="11" spans="1:13" ht="15.75" x14ac:dyDescent="0.25">
      <c r="A11" s="67"/>
      <c r="B11" s="64"/>
      <c r="C11" s="64"/>
      <c r="D11" s="64"/>
      <c r="E11" s="64"/>
      <c r="F11" s="64"/>
      <c r="G11" s="64"/>
      <c r="H11" s="64"/>
    </row>
    <row r="12" spans="1:13" ht="15.75" x14ac:dyDescent="0.25">
      <c r="A12" s="131" t="s">
        <v>14</v>
      </c>
      <c r="B12" s="131"/>
      <c r="C12" s="131"/>
      <c r="D12" s="131"/>
      <c r="F12">
        <f>((A8*B8*2)+(A8*C8*2))/100*85</f>
        <v>45.900000000000006</v>
      </c>
      <c r="G12">
        <f>((F8*G8*2)+(F8*H8*2))/100*85</f>
        <v>56.1</v>
      </c>
      <c r="H12">
        <f>((K8*L8*2)+(K8*M8*2))/100*85</f>
        <v>39.78</v>
      </c>
    </row>
    <row r="13" spans="1:13" ht="32.25" thickBot="1" x14ac:dyDescent="0.3">
      <c r="A13" s="19"/>
      <c r="B13" s="19" t="s">
        <v>2</v>
      </c>
      <c r="C13" s="20" t="s">
        <v>16</v>
      </c>
      <c r="D13" s="19" t="s">
        <v>3</v>
      </c>
    </row>
    <row r="14" spans="1:13" ht="15.75" x14ac:dyDescent="0.25">
      <c r="A14" s="126" t="s">
        <v>15</v>
      </c>
      <c r="B14" s="127"/>
      <c r="C14" s="21"/>
      <c r="D14" s="22"/>
    </row>
    <row r="15" spans="1:13" ht="15.75" x14ac:dyDescent="0.25">
      <c r="A15" s="23"/>
      <c r="B15" s="24">
        <v>0.52</v>
      </c>
      <c r="C15" s="24">
        <v>10.050000000000001</v>
      </c>
      <c r="D15" s="25">
        <v>570</v>
      </c>
      <c r="F15" t="s">
        <v>277</v>
      </c>
      <c r="G15" t="s">
        <v>7</v>
      </c>
      <c r="H15" t="s">
        <v>9</v>
      </c>
      <c r="I15" t="s">
        <v>10</v>
      </c>
    </row>
    <row r="16" spans="1:13" ht="15.75" x14ac:dyDescent="0.25">
      <c r="A16" s="23"/>
      <c r="B16" s="24">
        <v>0.68</v>
      </c>
      <c r="C16" s="24">
        <v>8.23</v>
      </c>
      <c r="D16" s="25">
        <v>780</v>
      </c>
      <c r="F16">
        <f>($B15*$C15)/100*110</f>
        <v>5.7486000000000006</v>
      </c>
      <c r="G16" t="str">
        <f>CONCATENATE(TEXT(100,"Рулонов:"),ROUNDUP(F$12/$F16,),TEXT(100," Цена:"),ROUNDUP(F$12/$F16,)*$D15)</f>
        <v>Рулонов:8 Цена:4560</v>
      </c>
      <c r="H16" t="str">
        <f>CONCATENATE(TEXT(100,"Рулонов:"),ROUNDUP(G$12/$F16,),TEXT(100," Цена:"),ROUNDUP(G$12/$F16,)*$D15)</f>
        <v>Рулонов:10 Цена:5700</v>
      </c>
      <c r="I16" t="str">
        <f>CONCATENATE(TEXT(100,"Рулонов:"),ROUNDUP(H$12/$F16,),TEXT(100," Цена:"),ROUNDUP(H$12/$F16,)*$D15)</f>
        <v>Рулонов:7 Цена:3990</v>
      </c>
    </row>
    <row r="17" spans="1:9" ht="16.5" thickBot="1" x14ac:dyDescent="0.3">
      <c r="A17" s="132" t="s">
        <v>17</v>
      </c>
      <c r="B17" s="133"/>
      <c r="C17" s="26"/>
      <c r="D17" s="27"/>
      <c r="F17">
        <f>($B16*$C16)/100*110</f>
        <v>6.1560400000000008</v>
      </c>
      <c r="G17" t="str">
        <f t="shared" ref="G17:I17" si="0">CONCATENATE(TEXT(100,"Рулонов:"),ROUNDUP(F$12/$F17,),TEXT(100," Цена:"),ROUNDUP(F$12/$F17,)*$D16)</f>
        <v>Рулонов:8 Цена:6240</v>
      </c>
      <c r="H17" t="str">
        <f t="shared" si="0"/>
        <v>Рулонов:10 Цена:7800</v>
      </c>
      <c r="I17" t="str">
        <f t="shared" si="0"/>
        <v>Рулонов:7 Цена:5460</v>
      </c>
    </row>
    <row r="18" spans="1:9" ht="15.75" x14ac:dyDescent="0.25">
      <c r="A18" s="28"/>
      <c r="B18" s="29">
        <v>0.52</v>
      </c>
      <c r="C18" s="29">
        <v>10.050000000000001</v>
      </c>
      <c r="D18" s="22">
        <v>1700</v>
      </c>
    </row>
    <row r="19" spans="1:9" ht="15.75" x14ac:dyDescent="0.25">
      <c r="A19" s="23"/>
      <c r="B19" s="24">
        <v>0.7</v>
      </c>
      <c r="C19" s="24">
        <v>10</v>
      </c>
      <c r="D19" s="25">
        <v>2300</v>
      </c>
      <c r="F19">
        <f>($B18*$C18)/100*110</f>
        <v>5.7486000000000006</v>
      </c>
      <c r="G19" t="str">
        <f t="shared" ref="G19:I19" si="1">CONCATENATE(TEXT(100,"Рулонов:"),ROUNDUP(F$12/$F19,),TEXT(100," Цена:"),ROUNDUP(F$12/$F19,)*$D18)</f>
        <v>Рулонов:8 Цена:13600</v>
      </c>
      <c r="H19" t="str">
        <f t="shared" si="1"/>
        <v>Рулонов:10 Цена:17000</v>
      </c>
      <c r="I19" t="str">
        <f t="shared" si="1"/>
        <v>Рулонов:7 Цена:11900</v>
      </c>
    </row>
    <row r="20" spans="1:9" ht="15.75" x14ac:dyDescent="0.25">
      <c r="A20" s="23"/>
      <c r="B20" s="24">
        <v>1.4</v>
      </c>
      <c r="C20" s="24">
        <v>50</v>
      </c>
      <c r="D20" s="25">
        <v>4800</v>
      </c>
      <c r="F20">
        <f>($B19*$C19)/100*110</f>
        <v>7.7000000000000011</v>
      </c>
      <c r="G20" t="str">
        <f t="shared" ref="G20:I20" si="2">CONCATENATE(TEXT(100,"Рулонов:"),ROUNDUP(F$12/$F20,),TEXT(100," Цена:"),ROUNDUP(F$12/$F20,)*$D19)</f>
        <v>Рулонов:6 Цена:13800</v>
      </c>
      <c r="H20" t="str">
        <f t="shared" si="2"/>
        <v>Рулонов:8 Цена:18400</v>
      </c>
      <c r="I20" t="str">
        <f t="shared" si="2"/>
        <v>Рулонов:6 Цена:13800</v>
      </c>
    </row>
    <row r="21" spans="1:9" ht="16.5" thickBot="1" x14ac:dyDescent="0.3">
      <c r="A21" s="30"/>
      <c r="B21" s="26">
        <v>1.05</v>
      </c>
      <c r="C21" s="26">
        <v>25</v>
      </c>
      <c r="D21" s="27">
        <v>2350</v>
      </c>
      <c r="F21">
        <f>($B20*$C20)/100*110</f>
        <v>77</v>
      </c>
      <c r="G21" t="str">
        <f t="shared" ref="G21:I21" si="3">CONCATENATE(TEXT(100,"Рулонов:"),ROUNDUP(F$12/$F21,),TEXT(100," Цена:"),ROUNDUP(F$12/$F21,)*$D20)</f>
        <v>Рулонов:1 Цена:4800</v>
      </c>
      <c r="H21" t="str">
        <f t="shared" si="3"/>
        <v>Рулонов:1 Цена:4800</v>
      </c>
      <c r="I21" t="str">
        <f t="shared" si="3"/>
        <v>Рулонов:1 Цена:4800</v>
      </c>
    </row>
    <row r="22" spans="1:9" ht="15.75" x14ac:dyDescent="0.25">
      <c r="A22" s="126" t="s">
        <v>18</v>
      </c>
      <c r="B22" s="127"/>
      <c r="C22" s="29"/>
      <c r="D22" s="22"/>
      <c r="F22">
        <f>($B21*$C21)/100*110</f>
        <v>28.875</v>
      </c>
      <c r="G22" t="str">
        <f t="shared" ref="G22:I22" si="4">CONCATENATE(TEXT(100,"Рулонов:"),ROUNDUP(F$12/$F22,),TEXT(100," Цена:"),ROUNDUP(F$12/$F22,)*$D21)</f>
        <v>Рулонов:2 Цена:4700</v>
      </c>
      <c r="H22" t="str">
        <f t="shared" si="4"/>
        <v>Рулонов:2 Цена:4700</v>
      </c>
      <c r="I22" t="str">
        <f t="shared" si="4"/>
        <v>Рулонов:2 Цена:4700</v>
      </c>
    </row>
    <row r="23" spans="1:9" ht="15.75" x14ac:dyDescent="0.25">
      <c r="A23" s="23"/>
      <c r="B23" s="24">
        <v>0.68</v>
      </c>
      <c r="C23" s="24">
        <v>10.050000000000001</v>
      </c>
      <c r="D23" s="25">
        <v>1540</v>
      </c>
    </row>
    <row r="24" spans="1:9" ht="15.75" x14ac:dyDescent="0.25">
      <c r="A24" s="23"/>
      <c r="B24" s="24">
        <v>0.52</v>
      </c>
      <c r="C24" s="24">
        <v>10.050000000000001</v>
      </c>
      <c r="D24" s="25">
        <v>1530</v>
      </c>
      <c r="F24">
        <f>($B23*$C23)/100*110</f>
        <v>7.5174000000000012</v>
      </c>
      <c r="G24" t="str">
        <f t="shared" ref="G24:I24" si="5">CONCATENATE(TEXT(100,"Рулонов:"),ROUNDUP(F$12/$F24,),TEXT(100," Цена:"),ROUNDUP(F$12/$F24,)*$D23)</f>
        <v>Рулонов:7 Цена:10780</v>
      </c>
      <c r="H24" t="str">
        <f t="shared" si="5"/>
        <v>Рулонов:8 Цена:12320</v>
      </c>
      <c r="I24" t="str">
        <f t="shared" si="5"/>
        <v>Рулонов:6 Цена:9240</v>
      </c>
    </row>
    <row r="25" spans="1:9" ht="15.75" x14ac:dyDescent="0.25">
      <c r="A25" s="23"/>
      <c r="B25" s="24">
        <v>0.7</v>
      </c>
      <c r="C25" s="24">
        <v>10</v>
      </c>
      <c r="D25" s="25">
        <v>1567</v>
      </c>
      <c r="F25">
        <f>($B24*$C24)/100*110</f>
        <v>5.7486000000000006</v>
      </c>
      <c r="G25" t="str">
        <f t="shared" ref="G25:I25" si="6">CONCATENATE(TEXT(100,"Рулонов:"),ROUNDUP(F$12/$F25,),TEXT(100," Цена:"),ROUNDUP(F$12/$F25,)*$D24)</f>
        <v>Рулонов:8 Цена:12240</v>
      </c>
      <c r="H25" t="str">
        <f t="shared" si="6"/>
        <v>Рулонов:10 Цена:15300</v>
      </c>
      <c r="I25" t="str">
        <f t="shared" si="6"/>
        <v>Рулонов:7 Цена:10710</v>
      </c>
    </row>
    <row r="26" spans="1:9" ht="16.5" thickBot="1" x14ac:dyDescent="0.3">
      <c r="A26" s="30"/>
      <c r="B26" s="26">
        <v>0.7</v>
      </c>
      <c r="C26" s="26">
        <v>8.1999999999999993</v>
      </c>
      <c r="D26" s="27">
        <v>1873</v>
      </c>
      <c r="F26">
        <f>($B25*$C25)/100*110</f>
        <v>7.7000000000000011</v>
      </c>
      <c r="G26" t="str">
        <f t="shared" ref="G26:I26" si="7">CONCATENATE(TEXT(100,"Рулонов:"),ROUNDUP(F$12/$F26,),TEXT(100," Цена:"),ROUNDUP(F$12/$F26,)*$D25)</f>
        <v>Рулонов:6 Цена:9402</v>
      </c>
      <c r="H26" t="str">
        <f t="shared" si="7"/>
        <v>Рулонов:8 Цена:12536</v>
      </c>
      <c r="I26" t="str">
        <f t="shared" si="7"/>
        <v>Рулонов:6 Цена:9402</v>
      </c>
    </row>
    <row r="27" spans="1:9" ht="15.75" x14ac:dyDescent="0.25">
      <c r="A27" s="126" t="s">
        <v>19</v>
      </c>
      <c r="B27" s="127"/>
      <c r="C27" s="29"/>
      <c r="D27" s="22"/>
      <c r="F27">
        <f>($B26*$C26)/100*110</f>
        <v>6.3139999999999992</v>
      </c>
      <c r="G27" t="str">
        <f t="shared" ref="G27:I27" si="8">CONCATENATE(TEXT(100,"Рулонов:"),ROUNDUP(F$12/$F27,),TEXT(100," Цена:"),ROUNDUP(F$12/$F27,)*$D26)</f>
        <v>Рулонов:8 Цена:14984</v>
      </c>
      <c r="H27" t="str">
        <f t="shared" si="8"/>
        <v>Рулонов:9 Цена:16857</v>
      </c>
      <c r="I27" t="str">
        <f t="shared" si="8"/>
        <v>Рулонов:7 Цена:13111</v>
      </c>
    </row>
    <row r="28" spans="1:9" ht="15.75" x14ac:dyDescent="0.25">
      <c r="A28" s="23"/>
      <c r="B28" s="24">
        <v>0.53</v>
      </c>
      <c r="C28" s="24">
        <v>10.050000000000001</v>
      </c>
      <c r="D28" s="25">
        <v>880</v>
      </c>
    </row>
    <row r="29" spans="1:9" ht="15.75" x14ac:dyDescent="0.25">
      <c r="A29" s="23"/>
      <c r="B29" s="24">
        <v>0.9</v>
      </c>
      <c r="C29" s="24">
        <v>20</v>
      </c>
      <c r="D29" s="25">
        <v>1530</v>
      </c>
      <c r="F29">
        <f>($B28*$C28)/100*110</f>
        <v>5.8591499999999996</v>
      </c>
      <c r="G29" t="str">
        <f t="shared" ref="G29:I29" si="9">CONCATENATE(TEXT(100,"Рулонов:"),ROUNDUP(F$12/$F29,),TEXT(100," Цена:"),ROUNDUP(F$12/$F29,)*$D28)</f>
        <v>Рулонов:8 Цена:7040</v>
      </c>
      <c r="H29" t="str">
        <f t="shared" si="9"/>
        <v>Рулонов:10 Цена:8800</v>
      </c>
      <c r="I29" t="str">
        <f t="shared" si="9"/>
        <v>Рулонов:7 Цена:6160</v>
      </c>
    </row>
    <row r="30" spans="1:9" ht="16.5" thickBot="1" x14ac:dyDescent="0.3">
      <c r="A30" s="30"/>
      <c r="B30" s="26">
        <v>1.06</v>
      </c>
      <c r="C30" s="26">
        <v>10.050000000000001</v>
      </c>
      <c r="D30" s="27">
        <v>1020</v>
      </c>
      <c r="F30">
        <f>($B29*$C29)/100*110</f>
        <v>19.8</v>
      </c>
      <c r="G30" t="str">
        <f t="shared" ref="G30:I30" si="10">CONCATENATE(TEXT(100,"Рулонов:"),ROUNDUP(F$12/$F30,),TEXT(100," Цена:"),ROUNDUP(F$12/$F30,)*$D29)</f>
        <v>Рулонов:3 Цена:4590</v>
      </c>
      <c r="H30" t="str">
        <f t="shared" si="10"/>
        <v>Рулонов:3 Цена:4590</v>
      </c>
      <c r="I30" t="str">
        <f t="shared" si="10"/>
        <v>Рулонов:3 Цена:4590</v>
      </c>
    </row>
    <row r="31" spans="1:9" ht="15.75" x14ac:dyDescent="0.25">
      <c r="A31" s="126" t="s">
        <v>20</v>
      </c>
      <c r="B31" s="127"/>
      <c r="C31" s="29"/>
      <c r="D31" s="22"/>
      <c r="F31">
        <f>($B30*$C30)/100*110</f>
        <v>11.718299999999999</v>
      </c>
      <c r="G31" t="str">
        <f t="shared" ref="G31:I31" si="11">CONCATENATE(TEXT(100,"Рулонов:"),ROUNDUP(F$12/$F31,),TEXT(100," Цена:"),ROUNDUP(F$12/$F31,)*$D30)</f>
        <v>Рулонов:4 Цена:4080</v>
      </c>
      <c r="H31" t="str">
        <f t="shared" si="11"/>
        <v>Рулонов:5 Цена:5100</v>
      </c>
      <c r="I31" t="str">
        <f t="shared" si="11"/>
        <v>Рулонов:4 Цена:4080</v>
      </c>
    </row>
    <row r="32" spans="1:9" ht="15.75" x14ac:dyDescent="0.25">
      <c r="A32" s="23"/>
      <c r="B32" s="24">
        <v>0.53</v>
      </c>
      <c r="C32" s="24">
        <v>10.050000000000001</v>
      </c>
      <c r="D32" s="25">
        <v>3470</v>
      </c>
    </row>
    <row r="33" spans="1:9" ht="15.75" x14ac:dyDescent="0.25">
      <c r="A33" s="23"/>
      <c r="B33" s="24">
        <v>0.68</v>
      </c>
      <c r="C33" s="24">
        <v>8.23</v>
      </c>
      <c r="D33" s="25">
        <v>7100</v>
      </c>
      <c r="F33">
        <f>($B32*$C32)/100*110</f>
        <v>5.8591499999999996</v>
      </c>
      <c r="G33" t="str">
        <f t="shared" ref="G33:I33" si="12">CONCATENATE(TEXT(100,"Рулонов:"),ROUNDUP(F$12/$F33,),TEXT(100," Цена:"),ROUNDUP(F$12/$F33,)*$D32)</f>
        <v>Рулонов:8 Цена:27760</v>
      </c>
      <c r="H33" t="str">
        <f t="shared" si="12"/>
        <v>Рулонов:10 Цена:34700</v>
      </c>
      <c r="I33" t="str">
        <f t="shared" si="12"/>
        <v>Рулонов:7 Цена:24290</v>
      </c>
    </row>
    <row r="34" spans="1:9" ht="15.75" x14ac:dyDescent="0.25">
      <c r="A34" s="23"/>
      <c r="B34" s="24">
        <v>1</v>
      </c>
      <c r="C34" s="24">
        <v>20</v>
      </c>
      <c r="D34" s="25">
        <v>5960</v>
      </c>
      <c r="F34">
        <f>($B33*$C33)/100*110</f>
        <v>6.1560400000000008</v>
      </c>
      <c r="G34" t="str">
        <f t="shared" ref="G34:I34" si="13">CONCATENATE(TEXT(100,"Рулонов:"),ROUNDUP(F$12/$F34,),TEXT(100," Цена:"),ROUNDUP(F$12/$F34,)*$D33)</f>
        <v>Рулонов:8 Цена:56800</v>
      </c>
      <c r="H34" t="str">
        <f t="shared" si="13"/>
        <v>Рулонов:10 Цена:71000</v>
      </c>
      <c r="I34" t="str">
        <f t="shared" si="13"/>
        <v>Рулонов:7 Цена:49700</v>
      </c>
    </row>
    <row r="35" spans="1:9" ht="16.5" thickBot="1" x14ac:dyDescent="0.3">
      <c r="A35" s="30"/>
      <c r="B35" s="26">
        <v>1.1499999999999999</v>
      </c>
      <c r="C35" s="26">
        <v>10.050000000000001</v>
      </c>
      <c r="D35" s="27">
        <v>4270</v>
      </c>
      <c r="F35">
        <f>($B34*$C34)/100*110</f>
        <v>22</v>
      </c>
      <c r="G35" t="str">
        <f t="shared" ref="G35:I35" si="14">CONCATENATE(TEXT(100,"Рулонов:"),ROUNDUP(F$12/$F35,),TEXT(100," Цена:"),ROUNDUP(F$12/$F35,)*$D34)</f>
        <v>Рулонов:3 Цена:17880</v>
      </c>
      <c r="H35" t="str">
        <f t="shared" si="14"/>
        <v>Рулонов:3 Цена:17880</v>
      </c>
      <c r="I35" t="str">
        <f t="shared" si="14"/>
        <v>Рулонов:2 Цена:11920</v>
      </c>
    </row>
    <row r="36" spans="1:9" x14ac:dyDescent="0.25">
      <c r="F36">
        <f>($B35*$C35)/100*110</f>
        <v>12.71325</v>
      </c>
      <c r="G36" t="str">
        <f t="shared" ref="G36:I36" si="15">CONCATENATE(TEXT(100,"Рулонов:"),ROUNDUP(F$12/$F36,),TEXT(100," Цена:"),ROUNDUP(F$12/$F36,)*$D35)</f>
        <v>Рулонов:4 Цена:17080</v>
      </c>
      <c r="H36" t="str">
        <f t="shared" si="15"/>
        <v>Рулонов:5 Цена:21350</v>
      </c>
      <c r="I36" t="str">
        <f t="shared" si="15"/>
        <v>Рулонов:4 Цена:17080</v>
      </c>
    </row>
    <row r="37" spans="1:9" ht="15.75" x14ac:dyDescent="0.25">
      <c r="A37" s="60" t="s">
        <v>27</v>
      </c>
      <c r="B37" s="15"/>
      <c r="C37" s="15"/>
      <c r="D37" s="15"/>
      <c r="E37" s="15"/>
      <c r="F37" s="15"/>
      <c r="G37" s="15"/>
      <c r="H37" s="16"/>
    </row>
    <row r="38" spans="1:9" ht="15.75" x14ac:dyDescent="0.25">
      <c r="A38" s="61"/>
      <c r="B38" s="36" t="s">
        <v>25</v>
      </c>
      <c r="C38" s="33"/>
      <c r="D38" s="33"/>
      <c r="E38" s="33"/>
      <c r="F38" s="33"/>
      <c r="G38" s="33"/>
      <c r="H38" s="35"/>
    </row>
    <row r="39" spans="1:9" ht="15.75" x14ac:dyDescent="0.25">
      <c r="A39" s="61"/>
      <c r="B39" s="36" t="s">
        <v>26</v>
      </c>
      <c r="C39" s="33"/>
      <c r="D39" s="33"/>
      <c r="E39" s="33"/>
      <c r="F39" s="33"/>
      <c r="G39" s="33"/>
      <c r="H39" s="35"/>
    </row>
    <row r="40" spans="1:9" ht="12.75" customHeight="1" x14ac:dyDescent="0.25">
      <c r="A40" s="61"/>
      <c r="B40" s="36" t="s">
        <v>23</v>
      </c>
      <c r="C40" s="33"/>
      <c r="D40" s="33"/>
      <c r="E40" s="33"/>
      <c r="F40" s="33"/>
      <c r="G40" s="33"/>
      <c r="H40" s="35"/>
    </row>
    <row r="41" spans="1:9" ht="14.25" customHeight="1" x14ac:dyDescent="0.25">
      <c r="A41" s="61" t="s">
        <v>28</v>
      </c>
      <c r="B41" s="33"/>
      <c r="C41" s="33"/>
      <c r="D41" s="33"/>
      <c r="E41" s="33"/>
      <c r="F41" s="33"/>
      <c r="G41" s="33"/>
      <c r="H41" s="35"/>
    </row>
    <row r="42" spans="1:9" ht="14.25" customHeight="1" x14ac:dyDescent="0.25">
      <c r="A42" s="61" t="s">
        <v>24</v>
      </c>
      <c r="B42" s="33"/>
      <c r="C42" s="33"/>
      <c r="D42" s="33"/>
      <c r="E42" s="33"/>
      <c r="F42" s="33"/>
      <c r="G42" s="33"/>
      <c r="H42" s="35"/>
    </row>
    <row r="43" spans="1:9" ht="14.25" customHeight="1" x14ac:dyDescent="0.25">
      <c r="A43" s="62" t="s">
        <v>29</v>
      </c>
      <c r="B43" s="17"/>
      <c r="C43" s="17"/>
      <c r="D43" s="17"/>
      <c r="E43" s="17"/>
      <c r="F43" s="17"/>
      <c r="G43" s="17"/>
      <c r="H43" s="18"/>
    </row>
    <row r="44" spans="1:9" ht="14.25" customHeight="1" x14ac:dyDescent="0.25">
      <c r="A44" s="3"/>
    </row>
    <row r="45" spans="1:9" ht="14.25" customHeight="1" x14ac:dyDescent="0.25">
      <c r="A45" s="3"/>
    </row>
    <row r="78" spans="1:1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</v>
      </c>
      <c r="G78" t="s">
        <v>2</v>
      </c>
      <c r="H78" t="s">
        <v>6</v>
      </c>
      <c r="I78" t="s">
        <v>4</v>
      </c>
      <c r="J78" t="s">
        <v>1</v>
      </c>
      <c r="K78" t="s">
        <v>2</v>
      </c>
      <c r="M78" t="s">
        <v>5</v>
      </c>
      <c r="N78" t="s">
        <v>1</v>
      </c>
      <c r="O78" t="s">
        <v>2</v>
      </c>
    </row>
  </sheetData>
  <mergeCells count="9">
    <mergeCell ref="A27:B27"/>
    <mergeCell ref="A31:B31"/>
    <mergeCell ref="A6:C6"/>
    <mergeCell ref="F6:H6"/>
    <mergeCell ref="K6:M6"/>
    <mergeCell ref="A12:D12"/>
    <mergeCell ref="A17:B17"/>
    <mergeCell ref="A14:B14"/>
    <mergeCell ref="A22:B2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A2" sqref="A2"/>
    </sheetView>
  </sheetViews>
  <sheetFormatPr defaultRowHeight="15" x14ac:dyDescent="0.25"/>
  <cols>
    <col min="1" max="1" width="24.140625" customWidth="1"/>
  </cols>
  <sheetData>
    <row r="1" spans="1:8" ht="19.5" x14ac:dyDescent="0.35">
      <c r="A1" s="56" t="s">
        <v>87</v>
      </c>
      <c r="B1" s="15"/>
      <c r="C1" s="15"/>
      <c r="D1" s="15"/>
      <c r="E1" s="15"/>
      <c r="F1" s="15"/>
      <c r="G1" s="15"/>
      <c r="H1" s="16"/>
    </row>
    <row r="2" spans="1:8" ht="19.5" x14ac:dyDescent="0.35">
      <c r="A2" s="57" t="s">
        <v>89</v>
      </c>
      <c r="B2" s="33"/>
      <c r="C2" s="33"/>
      <c r="D2" s="33"/>
      <c r="E2" s="33"/>
      <c r="F2" s="33"/>
      <c r="G2" s="33"/>
      <c r="H2" s="35"/>
    </row>
    <row r="3" spans="1:8" ht="19.5" x14ac:dyDescent="0.35">
      <c r="A3" s="57" t="s">
        <v>90</v>
      </c>
      <c r="B3" s="33"/>
      <c r="C3" s="33"/>
      <c r="D3" s="33"/>
      <c r="E3" s="33"/>
      <c r="F3" s="33"/>
      <c r="G3" s="33"/>
      <c r="H3" s="35"/>
    </row>
    <row r="4" spans="1:8" ht="19.5" x14ac:dyDescent="0.35">
      <c r="A4" s="58" t="s">
        <v>86</v>
      </c>
      <c r="B4" s="33"/>
      <c r="C4" s="33"/>
      <c r="D4" s="33"/>
      <c r="E4" s="33"/>
      <c r="F4" s="33"/>
      <c r="G4" s="33"/>
      <c r="H4" s="35"/>
    </row>
    <row r="5" spans="1:8" ht="21.75" x14ac:dyDescent="0.3">
      <c r="A5" s="59" t="s">
        <v>88</v>
      </c>
      <c r="B5" s="17"/>
      <c r="C5" s="17"/>
      <c r="D5" s="17"/>
      <c r="E5" s="17"/>
      <c r="F5" s="17"/>
      <c r="G5" s="17"/>
      <c r="H5" s="18"/>
    </row>
    <row r="6" spans="1:8" ht="15.75" x14ac:dyDescent="0.25">
      <c r="A6" s="44"/>
    </row>
    <row r="8" spans="1:8" ht="15.75" x14ac:dyDescent="0.25">
      <c r="A8" s="44"/>
    </row>
    <row r="9" spans="1:8" ht="15.75" x14ac:dyDescent="0.25">
      <c r="A9" s="4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H29" sqref="H29"/>
    </sheetView>
  </sheetViews>
  <sheetFormatPr defaultRowHeight="12.75" x14ac:dyDescent="0.2"/>
  <cols>
    <col min="1" max="1" width="9.7109375" style="40" customWidth="1"/>
    <col min="2" max="2" width="15" style="40" customWidth="1"/>
    <col min="3" max="3" width="16.85546875" style="40" customWidth="1"/>
    <col min="4" max="4" width="30" style="40" customWidth="1"/>
    <col min="5" max="5" width="36.140625" style="40" customWidth="1"/>
    <col min="6" max="6" width="17.28515625" style="40" customWidth="1"/>
    <col min="7" max="7" width="16.140625" style="40" customWidth="1"/>
    <col min="8" max="256" width="9.140625" style="40"/>
    <col min="257" max="257" width="9.7109375" style="40" customWidth="1"/>
    <col min="258" max="258" width="15" style="40" customWidth="1"/>
    <col min="259" max="259" width="16.85546875" style="40" customWidth="1"/>
    <col min="260" max="260" width="30" style="40" customWidth="1"/>
    <col min="261" max="261" width="36.140625" style="40" customWidth="1"/>
    <col min="262" max="262" width="17.28515625" style="40" customWidth="1"/>
    <col min="263" max="263" width="16.140625" style="40" customWidth="1"/>
    <col min="264" max="512" width="9.140625" style="40"/>
    <col min="513" max="513" width="9.7109375" style="40" customWidth="1"/>
    <col min="514" max="514" width="15" style="40" customWidth="1"/>
    <col min="515" max="515" width="16.85546875" style="40" customWidth="1"/>
    <col min="516" max="516" width="30" style="40" customWidth="1"/>
    <col min="517" max="517" width="36.140625" style="40" customWidth="1"/>
    <col min="518" max="518" width="17.28515625" style="40" customWidth="1"/>
    <col min="519" max="519" width="16.140625" style="40" customWidth="1"/>
    <col min="520" max="768" width="9.140625" style="40"/>
    <col min="769" max="769" width="9.7109375" style="40" customWidth="1"/>
    <col min="770" max="770" width="15" style="40" customWidth="1"/>
    <col min="771" max="771" width="16.85546875" style="40" customWidth="1"/>
    <col min="772" max="772" width="30" style="40" customWidth="1"/>
    <col min="773" max="773" width="36.140625" style="40" customWidth="1"/>
    <col min="774" max="774" width="17.28515625" style="40" customWidth="1"/>
    <col min="775" max="775" width="16.140625" style="40" customWidth="1"/>
    <col min="776" max="1024" width="9.140625" style="40"/>
    <col min="1025" max="1025" width="9.7109375" style="40" customWidth="1"/>
    <col min="1026" max="1026" width="15" style="40" customWidth="1"/>
    <col min="1027" max="1027" width="16.85546875" style="40" customWidth="1"/>
    <col min="1028" max="1028" width="30" style="40" customWidth="1"/>
    <col min="1029" max="1029" width="36.140625" style="40" customWidth="1"/>
    <col min="1030" max="1030" width="17.28515625" style="40" customWidth="1"/>
    <col min="1031" max="1031" width="16.140625" style="40" customWidth="1"/>
    <col min="1032" max="1280" width="9.140625" style="40"/>
    <col min="1281" max="1281" width="9.7109375" style="40" customWidth="1"/>
    <col min="1282" max="1282" width="15" style="40" customWidth="1"/>
    <col min="1283" max="1283" width="16.85546875" style="40" customWidth="1"/>
    <col min="1284" max="1284" width="30" style="40" customWidth="1"/>
    <col min="1285" max="1285" width="36.140625" style="40" customWidth="1"/>
    <col min="1286" max="1286" width="17.28515625" style="40" customWidth="1"/>
    <col min="1287" max="1287" width="16.140625" style="40" customWidth="1"/>
    <col min="1288" max="1536" width="9.140625" style="40"/>
    <col min="1537" max="1537" width="9.7109375" style="40" customWidth="1"/>
    <col min="1538" max="1538" width="15" style="40" customWidth="1"/>
    <col min="1539" max="1539" width="16.85546875" style="40" customWidth="1"/>
    <col min="1540" max="1540" width="30" style="40" customWidth="1"/>
    <col min="1541" max="1541" width="36.140625" style="40" customWidth="1"/>
    <col min="1542" max="1542" width="17.28515625" style="40" customWidth="1"/>
    <col min="1543" max="1543" width="16.140625" style="40" customWidth="1"/>
    <col min="1544" max="1792" width="9.140625" style="40"/>
    <col min="1793" max="1793" width="9.7109375" style="40" customWidth="1"/>
    <col min="1794" max="1794" width="15" style="40" customWidth="1"/>
    <col min="1795" max="1795" width="16.85546875" style="40" customWidth="1"/>
    <col min="1796" max="1796" width="30" style="40" customWidth="1"/>
    <col min="1797" max="1797" width="36.140625" style="40" customWidth="1"/>
    <col min="1798" max="1798" width="17.28515625" style="40" customWidth="1"/>
    <col min="1799" max="1799" width="16.140625" style="40" customWidth="1"/>
    <col min="1800" max="2048" width="9.140625" style="40"/>
    <col min="2049" max="2049" width="9.7109375" style="40" customWidth="1"/>
    <col min="2050" max="2050" width="15" style="40" customWidth="1"/>
    <col min="2051" max="2051" width="16.85546875" style="40" customWidth="1"/>
    <col min="2052" max="2052" width="30" style="40" customWidth="1"/>
    <col min="2053" max="2053" width="36.140625" style="40" customWidth="1"/>
    <col min="2054" max="2054" width="17.28515625" style="40" customWidth="1"/>
    <col min="2055" max="2055" width="16.140625" style="40" customWidth="1"/>
    <col min="2056" max="2304" width="9.140625" style="40"/>
    <col min="2305" max="2305" width="9.7109375" style="40" customWidth="1"/>
    <col min="2306" max="2306" width="15" style="40" customWidth="1"/>
    <col min="2307" max="2307" width="16.85546875" style="40" customWidth="1"/>
    <col min="2308" max="2308" width="30" style="40" customWidth="1"/>
    <col min="2309" max="2309" width="36.140625" style="40" customWidth="1"/>
    <col min="2310" max="2310" width="17.28515625" style="40" customWidth="1"/>
    <col min="2311" max="2311" width="16.140625" style="40" customWidth="1"/>
    <col min="2312" max="2560" width="9.140625" style="40"/>
    <col min="2561" max="2561" width="9.7109375" style="40" customWidth="1"/>
    <col min="2562" max="2562" width="15" style="40" customWidth="1"/>
    <col min="2563" max="2563" width="16.85546875" style="40" customWidth="1"/>
    <col min="2564" max="2564" width="30" style="40" customWidth="1"/>
    <col min="2565" max="2565" width="36.140625" style="40" customWidth="1"/>
    <col min="2566" max="2566" width="17.28515625" style="40" customWidth="1"/>
    <col min="2567" max="2567" width="16.140625" style="40" customWidth="1"/>
    <col min="2568" max="2816" width="9.140625" style="40"/>
    <col min="2817" max="2817" width="9.7109375" style="40" customWidth="1"/>
    <col min="2818" max="2818" width="15" style="40" customWidth="1"/>
    <col min="2819" max="2819" width="16.85546875" style="40" customWidth="1"/>
    <col min="2820" max="2820" width="30" style="40" customWidth="1"/>
    <col min="2821" max="2821" width="36.140625" style="40" customWidth="1"/>
    <col min="2822" max="2822" width="17.28515625" style="40" customWidth="1"/>
    <col min="2823" max="2823" width="16.140625" style="40" customWidth="1"/>
    <col min="2824" max="3072" width="9.140625" style="40"/>
    <col min="3073" max="3073" width="9.7109375" style="40" customWidth="1"/>
    <col min="3074" max="3074" width="15" style="40" customWidth="1"/>
    <col min="3075" max="3075" width="16.85546875" style="40" customWidth="1"/>
    <col min="3076" max="3076" width="30" style="40" customWidth="1"/>
    <col min="3077" max="3077" width="36.140625" style="40" customWidth="1"/>
    <col min="3078" max="3078" width="17.28515625" style="40" customWidth="1"/>
    <col min="3079" max="3079" width="16.140625" style="40" customWidth="1"/>
    <col min="3080" max="3328" width="9.140625" style="40"/>
    <col min="3329" max="3329" width="9.7109375" style="40" customWidth="1"/>
    <col min="3330" max="3330" width="15" style="40" customWidth="1"/>
    <col min="3331" max="3331" width="16.85546875" style="40" customWidth="1"/>
    <col min="3332" max="3332" width="30" style="40" customWidth="1"/>
    <col min="3333" max="3333" width="36.140625" style="40" customWidth="1"/>
    <col min="3334" max="3334" width="17.28515625" style="40" customWidth="1"/>
    <col min="3335" max="3335" width="16.140625" style="40" customWidth="1"/>
    <col min="3336" max="3584" width="9.140625" style="40"/>
    <col min="3585" max="3585" width="9.7109375" style="40" customWidth="1"/>
    <col min="3586" max="3586" width="15" style="40" customWidth="1"/>
    <col min="3587" max="3587" width="16.85546875" style="40" customWidth="1"/>
    <col min="3588" max="3588" width="30" style="40" customWidth="1"/>
    <col min="3589" max="3589" width="36.140625" style="40" customWidth="1"/>
    <col min="3590" max="3590" width="17.28515625" style="40" customWidth="1"/>
    <col min="3591" max="3591" width="16.140625" style="40" customWidth="1"/>
    <col min="3592" max="3840" width="9.140625" style="40"/>
    <col min="3841" max="3841" width="9.7109375" style="40" customWidth="1"/>
    <col min="3842" max="3842" width="15" style="40" customWidth="1"/>
    <col min="3843" max="3843" width="16.85546875" style="40" customWidth="1"/>
    <col min="3844" max="3844" width="30" style="40" customWidth="1"/>
    <col min="3845" max="3845" width="36.140625" style="40" customWidth="1"/>
    <col min="3846" max="3846" width="17.28515625" style="40" customWidth="1"/>
    <col min="3847" max="3847" width="16.140625" style="40" customWidth="1"/>
    <col min="3848" max="4096" width="9.140625" style="40"/>
    <col min="4097" max="4097" width="9.7109375" style="40" customWidth="1"/>
    <col min="4098" max="4098" width="15" style="40" customWidth="1"/>
    <col min="4099" max="4099" width="16.85546875" style="40" customWidth="1"/>
    <col min="4100" max="4100" width="30" style="40" customWidth="1"/>
    <col min="4101" max="4101" width="36.140625" style="40" customWidth="1"/>
    <col min="4102" max="4102" width="17.28515625" style="40" customWidth="1"/>
    <col min="4103" max="4103" width="16.140625" style="40" customWidth="1"/>
    <col min="4104" max="4352" width="9.140625" style="40"/>
    <col min="4353" max="4353" width="9.7109375" style="40" customWidth="1"/>
    <col min="4354" max="4354" width="15" style="40" customWidth="1"/>
    <col min="4355" max="4355" width="16.85546875" style="40" customWidth="1"/>
    <col min="4356" max="4356" width="30" style="40" customWidth="1"/>
    <col min="4357" max="4357" width="36.140625" style="40" customWidth="1"/>
    <col min="4358" max="4358" width="17.28515625" style="40" customWidth="1"/>
    <col min="4359" max="4359" width="16.140625" style="40" customWidth="1"/>
    <col min="4360" max="4608" width="9.140625" style="40"/>
    <col min="4609" max="4609" width="9.7109375" style="40" customWidth="1"/>
    <col min="4610" max="4610" width="15" style="40" customWidth="1"/>
    <col min="4611" max="4611" width="16.85546875" style="40" customWidth="1"/>
    <col min="4612" max="4612" width="30" style="40" customWidth="1"/>
    <col min="4613" max="4613" width="36.140625" style="40" customWidth="1"/>
    <col min="4614" max="4614" width="17.28515625" style="40" customWidth="1"/>
    <col min="4615" max="4615" width="16.140625" style="40" customWidth="1"/>
    <col min="4616" max="4864" width="9.140625" style="40"/>
    <col min="4865" max="4865" width="9.7109375" style="40" customWidth="1"/>
    <col min="4866" max="4866" width="15" style="40" customWidth="1"/>
    <col min="4867" max="4867" width="16.85546875" style="40" customWidth="1"/>
    <col min="4868" max="4868" width="30" style="40" customWidth="1"/>
    <col min="4869" max="4869" width="36.140625" style="40" customWidth="1"/>
    <col min="4870" max="4870" width="17.28515625" style="40" customWidth="1"/>
    <col min="4871" max="4871" width="16.140625" style="40" customWidth="1"/>
    <col min="4872" max="5120" width="9.140625" style="40"/>
    <col min="5121" max="5121" width="9.7109375" style="40" customWidth="1"/>
    <col min="5122" max="5122" width="15" style="40" customWidth="1"/>
    <col min="5123" max="5123" width="16.85546875" style="40" customWidth="1"/>
    <col min="5124" max="5124" width="30" style="40" customWidth="1"/>
    <col min="5125" max="5125" width="36.140625" style="40" customWidth="1"/>
    <col min="5126" max="5126" width="17.28515625" style="40" customWidth="1"/>
    <col min="5127" max="5127" width="16.140625" style="40" customWidth="1"/>
    <col min="5128" max="5376" width="9.140625" style="40"/>
    <col min="5377" max="5377" width="9.7109375" style="40" customWidth="1"/>
    <col min="5378" max="5378" width="15" style="40" customWidth="1"/>
    <col min="5379" max="5379" width="16.85546875" style="40" customWidth="1"/>
    <col min="5380" max="5380" width="30" style="40" customWidth="1"/>
    <col min="5381" max="5381" width="36.140625" style="40" customWidth="1"/>
    <col min="5382" max="5382" width="17.28515625" style="40" customWidth="1"/>
    <col min="5383" max="5383" width="16.140625" style="40" customWidth="1"/>
    <col min="5384" max="5632" width="9.140625" style="40"/>
    <col min="5633" max="5633" width="9.7109375" style="40" customWidth="1"/>
    <col min="5634" max="5634" width="15" style="40" customWidth="1"/>
    <col min="5635" max="5635" width="16.85546875" style="40" customWidth="1"/>
    <col min="5636" max="5636" width="30" style="40" customWidth="1"/>
    <col min="5637" max="5637" width="36.140625" style="40" customWidth="1"/>
    <col min="5638" max="5638" width="17.28515625" style="40" customWidth="1"/>
    <col min="5639" max="5639" width="16.140625" style="40" customWidth="1"/>
    <col min="5640" max="5888" width="9.140625" style="40"/>
    <col min="5889" max="5889" width="9.7109375" style="40" customWidth="1"/>
    <col min="5890" max="5890" width="15" style="40" customWidth="1"/>
    <col min="5891" max="5891" width="16.85546875" style="40" customWidth="1"/>
    <col min="5892" max="5892" width="30" style="40" customWidth="1"/>
    <col min="5893" max="5893" width="36.140625" style="40" customWidth="1"/>
    <col min="5894" max="5894" width="17.28515625" style="40" customWidth="1"/>
    <col min="5895" max="5895" width="16.140625" style="40" customWidth="1"/>
    <col min="5896" max="6144" width="9.140625" style="40"/>
    <col min="6145" max="6145" width="9.7109375" style="40" customWidth="1"/>
    <col min="6146" max="6146" width="15" style="40" customWidth="1"/>
    <col min="6147" max="6147" width="16.85546875" style="40" customWidth="1"/>
    <col min="6148" max="6148" width="30" style="40" customWidth="1"/>
    <col min="6149" max="6149" width="36.140625" style="40" customWidth="1"/>
    <col min="6150" max="6150" width="17.28515625" style="40" customWidth="1"/>
    <col min="6151" max="6151" width="16.140625" style="40" customWidth="1"/>
    <col min="6152" max="6400" width="9.140625" style="40"/>
    <col min="6401" max="6401" width="9.7109375" style="40" customWidth="1"/>
    <col min="6402" max="6402" width="15" style="40" customWidth="1"/>
    <col min="6403" max="6403" width="16.85546875" style="40" customWidth="1"/>
    <col min="6404" max="6404" width="30" style="40" customWidth="1"/>
    <col min="6405" max="6405" width="36.140625" style="40" customWidth="1"/>
    <col min="6406" max="6406" width="17.28515625" style="40" customWidth="1"/>
    <col min="6407" max="6407" width="16.140625" style="40" customWidth="1"/>
    <col min="6408" max="6656" width="9.140625" style="40"/>
    <col min="6657" max="6657" width="9.7109375" style="40" customWidth="1"/>
    <col min="6658" max="6658" width="15" style="40" customWidth="1"/>
    <col min="6659" max="6659" width="16.85546875" style="40" customWidth="1"/>
    <col min="6660" max="6660" width="30" style="40" customWidth="1"/>
    <col min="6661" max="6661" width="36.140625" style="40" customWidth="1"/>
    <col min="6662" max="6662" width="17.28515625" style="40" customWidth="1"/>
    <col min="6663" max="6663" width="16.140625" style="40" customWidth="1"/>
    <col min="6664" max="6912" width="9.140625" style="40"/>
    <col min="6913" max="6913" width="9.7109375" style="40" customWidth="1"/>
    <col min="6914" max="6914" width="15" style="40" customWidth="1"/>
    <col min="6915" max="6915" width="16.85546875" style="40" customWidth="1"/>
    <col min="6916" max="6916" width="30" style="40" customWidth="1"/>
    <col min="6917" max="6917" width="36.140625" style="40" customWidth="1"/>
    <col min="6918" max="6918" width="17.28515625" style="40" customWidth="1"/>
    <col min="6919" max="6919" width="16.140625" style="40" customWidth="1"/>
    <col min="6920" max="7168" width="9.140625" style="40"/>
    <col min="7169" max="7169" width="9.7109375" style="40" customWidth="1"/>
    <col min="7170" max="7170" width="15" style="40" customWidth="1"/>
    <col min="7171" max="7171" width="16.85546875" style="40" customWidth="1"/>
    <col min="7172" max="7172" width="30" style="40" customWidth="1"/>
    <col min="7173" max="7173" width="36.140625" style="40" customWidth="1"/>
    <col min="7174" max="7174" width="17.28515625" style="40" customWidth="1"/>
    <col min="7175" max="7175" width="16.140625" style="40" customWidth="1"/>
    <col min="7176" max="7424" width="9.140625" style="40"/>
    <col min="7425" max="7425" width="9.7109375" style="40" customWidth="1"/>
    <col min="7426" max="7426" width="15" style="40" customWidth="1"/>
    <col min="7427" max="7427" width="16.85546875" style="40" customWidth="1"/>
    <col min="7428" max="7428" width="30" style="40" customWidth="1"/>
    <col min="7429" max="7429" width="36.140625" style="40" customWidth="1"/>
    <col min="7430" max="7430" width="17.28515625" style="40" customWidth="1"/>
    <col min="7431" max="7431" width="16.140625" style="40" customWidth="1"/>
    <col min="7432" max="7680" width="9.140625" style="40"/>
    <col min="7681" max="7681" width="9.7109375" style="40" customWidth="1"/>
    <col min="7682" max="7682" width="15" style="40" customWidth="1"/>
    <col min="7683" max="7683" width="16.85546875" style="40" customWidth="1"/>
    <col min="7684" max="7684" width="30" style="40" customWidth="1"/>
    <col min="7685" max="7685" width="36.140625" style="40" customWidth="1"/>
    <col min="7686" max="7686" width="17.28515625" style="40" customWidth="1"/>
    <col min="7687" max="7687" width="16.140625" style="40" customWidth="1"/>
    <col min="7688" max="7936" width="9.140625" style="40"/>
    <col min="7937" max="7937" width="9.7109375" style="40" customWidth="1"/>
    <col min="7938" max="7938" width="15" style="40" customWidth="1"/>
    <col min="7939" max="7939" width="16.85546875" style="40" customWidth="1"/>
    <col min="7940" max="7940" width="30" style="40" customWidth="1"/>
    <col min="7941" max="7941" width="36.140625" style="40" customWidth="1"/>
    <col min="7942" max="7942" width="17.28515625" style="40" customWidth="1"/>
    <col min="7943" max="7943" width="16.140625" style="40" customWidth="1"/>
    <col min="7944" max="8192" width="9.140625" style="40"/>
    <col min="8193" max="8193" width="9.7109375" style="40" customWidth="1"/>
    <col min="8194" max="8194" width="15" style="40" customWidth="1"/>
    <col min="8195" max="8195" width="16.85546875" style="40" customWidth="1"/>
    <col min="8196" max="8196" width="30" style="40" customWidth="1"/>
    <col min="8197" max="8197" width="36.140625" style="40" customWidth="1"/>
    <col min="8198" max="8198" width="17.28515625" style="40" customWidth="1"/>
    <col min="8199" max="8199" width="16.140625" style="40" customWidth="1"/>
    <col min="8200" max="8448" width="9.140625" style="40"/>
    <col min="8449" max="8449" width="9.7109375" style="40" customWidth="1"/>
    <col min="8450" max="8450" width="15" style="40" customWidth="1"/>
    <col min="8451" max="8451" width="16.85546875" style="40" customWidth="1"/>
    <col min="8452" max="8452" width="30" style="40" customWidth="1"/>
    <col min="8453" max="8453" width="36.140625" style="40" customWidth="1"/>
    <col min="8454" max="8454" width="17.28515625" style="40" customWidth="1"/>
    <col min="8455" max="8455" width="16.140625" style="40" customWidth="1"/>
    <col min="8456" max="8704" width="9.140625" style="40"/>
    <col min="8705" max="8705" width="9.7109375" style="40" customWidth="1"/>
    <col min="8706" max="8706" width="15" style="40" customWidth="1"/>
    <col min="8707" max="8707" width="16.85546875" style="40" customWidth="1"/>
    <col min="8708" max="8708" width="30" style="40" customWidth="1"/>
    <col min="8709" max="8709" width="36.140625" style="40" customWidth="1"/>
    <col min="8710" max="8710" width="17.28515625" style="40" customWidth="1"/>
    <col min="8711" max="8711" width="16.140625" style="40" customWidth="1"/>
    <col min="8712" max="8960" width="9.140625" style="40"/>
    <col min="8961" max="8961" width="9.7109375" style="40" customWidth="1"/>
    <col min="8962" max="8962" width="15" style="40" customWidth="1"/>
    <col min="8963" max="8963" width="16.85546875" style="40" customWidth="1"/>
    <col min="8964" max="8964" width="30" style="40" customWidth="1"/>
    <col min="8965" max="8965" width="36.140625" style="40" customWidth="1"/>
    <col min="8966" max="8966" width="17.28515625" style="40" customWidth="1"/>
    <col min="8967" max="8967" width="16.140625" style="40" customWidth="1"/>
    <col min="8968" max="9216" width="9.140625" style="40"/>
    <col min="9217" max="9217" width="9.7109375" style="40" customWidth="1"/>
    <col min="9218" max="9218" width="15" style="40" customWidth="1"/>
    <col min="9219" max="9219" width="16.85546875" style="40" customWidth="1"/>
    <col min="9220" max="9220" width="30" style="40" customWidth="1"/>
    <col min="9221" max="9221" width="36.140625" style="40" customWidth="1"/>
    <col min="9222" max="9222" width="17.28515625" style="40" customWidth="1"/>
    <col min="9223" max="9223" width="16.140625" style="40" customWidth="1"/>
    <col min="9224" max="9472" width="9.140625" style="40"/>
    <col min="9473" max="9473" width="9.7109375" style="40" customWidth="1"/>
    <col min="9474" max="9474" width="15" style="40" customWidth="1"/>
    <col min="9475" max="9475" width="16.85546875" style="40" customWidth="1"/>
    <col min="9476" max="9476" width="30" style="40" customWidth="1"/>
    <col min="9477" max="9477" width="36.140625" style="40" customWidth="1"/>
    <col min="9478" max="9478" width="17.28515625" style="40" customWidth="1"/>
    <col min="9479" max="9479" width="16.140625" style="40" customWidth="1"/>
    <col min="9480" max="9728" width="9.140625" style="40"/>
    <col min="9729" max="9729" width="9.7109375" style="40" customWidth="1"/>
    <col min="9730" max="9730" width="15" style="40" customWidth="1"/>
    <col min="9731" max="9731" width="16.85546875" style="40" customWidth="1"/>
    <col min="9732" max="9732" width="30" style="40" customWidth="1"/>
    <col min="9733" max="9733" width="36.140625" style="40" customWidth="1"/>
    <col min="9734" max="9734" width="17.28515625" style="40" customWidth="1"/>
    <col min="9735" max="9735" width="16.140625" style="40" customWidth="1"/>
    <col min="9736" max="9984" width="9.140625" style="40"/>
    <col min="9985" max="9985" width="9.7109375" style="40" customWidth="1"/>
    <col min="9986" max="9986" width="15" style="40" customWidth="1"/>
    <col min="9987" max="9987" width="16.85546875" style="40" customWidth="1"/>
    <col min="9988" max="9988" width="30" style="40" customWidth="1"/>
    <col min="9989" max="9989" width="36.140625" style="40" customWidth="1"/>
    <col min="9990" max="9990" width="17.28515625" style="40" customWidth="1"/>
    <col min="9991" max="9991" width="16.140625" style="40" customWidth="1"/>
    <col min="9992" max="10240" width="9.140625" style="40"/>
    <col min="10241" max="10241" width="9.7109375" style="40" customWidth="1"/>
    <col min="10242" max="10242" width="15" style="40" customWidth="1"/>
    <col min="10243" max="10243" width="16.85546875" style="40" customWidth="1"/>
    <col min="10244" max="10244" width="30" style="40" customWidth="1"/>
    <col min="10245" max="10245" width="36.140625" style="40" customWidth="1"/>
    <col min="10246" max="10246" width="17.28515625" style="40" customWidth="1"/>
    <col min="10247" max="10247" width="16.140625" style="40" customWidth="1"/>
    <col min="10248" max="10496" width="9.140625" style="40"/>
    <col min="10497" max="10497" width="9.7109375" style="40" customWidth="1"/>
    <col min="10498" max="10498" width="15" style="40" customWidth="1"/>
    <col min="10499" max="10499" width="16.85546875" style="40" customWidth="1"/>
    <col min="10500" max="10500" width="30" style="40" customWidth="1"/>
    <col min="10501" max="10501" width="36.140625" style="40" customWidth="1"/>
    <col min="10502" max="10502" width="17.28515625" style="40" customWidth="1"/>
    <col min="10503" max="10503" width="16.140625" style="40" customWidth="1"/>
    <col min="10504" max="10752" width="9.140625" style="40"/>
    <col min="10753" max="10753" width="9.7109375" style="40" customWidth="1"/>
    <col min="10754" max="10754" width="15" style="40" customWidth="1"/>
    <col min="10755" max="10755" width="16.85546875" style="40" customWidth="1"/>
    <col min="10756" max="10756" width="30" style="40" customWidth="1"/>
    <col min="10757" max="10757" width="36.140625" style="40" customWidth="1"/>
    <col min="10758" max="10758" width="17.28515625" style="40" customWidth="1"/>
    <col min="10759" max="10759" width="16.140625" style="40" customWidth="1"/>
    <col min="10760" max="11008" width="9.140625" style="40"/>
    <col min="11009" max="11009" width="9.7109375" style="40" customWidth="1"/>
    <col min="11010" max="11010" width="15" style="40" customWidth="1"/>
    <col min="11011" max="11011" width="16.85546875" style="40" customWidth="1"/>
    <col min="11012" max="11012" width="30" style="40" customWidth="1"/>
    <col min="11013" max="11013" width="36.140625" style="40" customWidth="1"/>
    <col min="11014" max="11014" width="17.28515625" style="40" customWidth="1"/>
    <col min="11015" max="11015" width="16.140625" style="40" customWidth="1"/>
    <col min="11016" max="11264" width="9.140625" style="40"/>
    <col min="11265" max="11265" width="9.7109375" style="40" customWidth="1"/>
    <col min="11266" max="11266" width="15" style="40" customWidth="1"/>
    <col min="11267" max="11267" width="16.85546875" style="40" customWidth="1"/>
    <col min="11268" max="11268" width="30" style="40" customWidth="1"/>
    <col min="11269" max="11269" width="36.140625" style="40" customWidth="1"/>
    <col min="11270" max="11270" width="17.28515625" style="40" customWidth="1"/>
    <col min="11271" max="11271" width="16.140625" style="40" customWidth="1"/>
    <col min="11272" max="11520" width="9.140625" style="40"/>
    <col min="11521" max="11521" width="9.7109375" style="40" customWidth="1"/>
    <col min="11522" max="11522" width="15" style="40" customWidth="1"/>
    <col min="11523" max="11523" width="16.85546875" style="40" customWidth="1"/>
    <col min="11524" max="11524" width="30" style="40" customWidth="1"/>
    <col min="11525" max="11525" width="36.140625" style="40" customWidth="1"/>
    <col min="11526" max="11526" width="17.28515625" style="40" customWidth="1"/>
    <col min="11527" max="11527" width="16.140625" style="40" customWidth="1"/>
    <col min="11528" max="11776" width="9.140625" style="40"/>
    <col min="11777" max="11777" width="9.7109375" style="40" customWidth="1"/>
    <col min="11778" max="11778" width="15" style="40" customWidth="1"/>
    <col min="11779" max="11779" width="16.85546875" style="40" customWidth="1"/>
    <col min="11780" max="11780" width="30" style="40" customWidth="1"/>
    <col min="11781" max="11781" width="36.140625" style="40" customWidth="1"/>
    <col min="11782" max="11782" width="17.28515625" style="40" customWidth="1"/>
    <col min="11783" max="11783" width="16.140625" style="40" customWidth="1"/>
    <col min="11784" max="12032" width="9.140625" style="40"/>
    <col min="12033" max="12033" width="9.7109375" style="40" customWidth="1"/>
    <col min="12034" max="12034" width="15" style="40" customWidth="1"/>
    <col min="12035" max="12035" width="16.85546875" style="40" customWidth="1"/>
    <col min="12036" max="12036" width="30" style="40" customWidth="1"/>
    <col min="12037" max="12037" width="36.140625" style="40" customWidth="1"/>
    <col min="12038" max="12038" width="17.28515625" style="40" customWidth="1"/>
    <col min="12039" max="12039" width="16.140625" style="40" customWidth="1"/>
    <col min="12040" max="12288" width="9.140625" style="40"/>
    <col min="12289" max="12289" width="9.7109375" style="40" customWidth="1"/>
    <col min="12290" max="12290" width="15" style="40" customWidth="1"/>
    <col min="12291" max="12291" width="16.85546875" style="40" customWidth="1"/>
    <col min="12292" max="12292" width="30" style="40" customWidth="1"/>
    <col min="12293" max="12293" width="36.140625" style="40" customWidth="1"/>
    <col min="12294" max="12294" width="17.28515625" style="40" customWidth="1"/>
    <col min="12295" max="12295" width="16.140625" style="40" customWidth="1"/>
    <col min="12296" max="12544" width="9.140625" style="40"/>
    <col min="12545" max="12545" width="9.7109375" style="40" customWidth="1"/>
    <col min="12546" max="12546" width="15" style="40" customWidth="1"/>
    <col min="12547" max="12547" width="16.85546875" style="40" customWidth="1"/>
    <col min="12548" max="12548" width="30" style="40" customWidth="1"/>
    <col min="12549" max="12549" width="36.140625" style="40" customWidth="1"/>
    <col min="12550" max="12550" width="17.28515625" style="40" customWidth="1"/>
    <col min="12551" max="12551" width="16.140625" style="40" customWidth="1"/>
    <col min="12552" max="12800" width="9.140625" style="40"/>
    <col min="12801" max="12801" width="9.7109375" style="40" customWidth="1"/>
    <col min="12802" max="12802" width="15" style="40" customWidth="1"/>
    <col min="12803" max="12803" width="16.85546875" style="40" customWidth="1"/>
    <col min="12804" max="12804" width="30" style="40" customWidth="1"/>
    <col min="12805" max="12805" width="36.140625" style="40" customWidth="1"/>
    <col min="12806" max="12806" width="17.28515625" style="40" customWidth="1"/>
    <col min="12807" max="12807" width="16.140625" style="40" customWidth="1"/>
    <col min="12808" max="13056" width="9.140625" style="40"/>
    <col min="13057" max="13057" width="9.7109375" style="40" customWidth="1"/>
    <col min="13058" max="13058" width="15" style="40" customWidth="1"/>
    <col min="13059" max="13059" width="16.85546875" style="40" customWidth="1"/>
    <col min="13060" max="13060" width="30" style="40" customWidth="1"/>
    <col min="13061" max="13061" width="36.140625" style="40" customWidth="1"/>
    <col min="13062" max="13062" width="17.28515625" style="40" customWidth="1"/>
    <col min="13063" max="13063" width="16.140625" style="40" customWidth="1"/>
    <col min="13064" max="13312" width="9.140625" style="40"/>
    <col min="13313" max="13313" width="9.7109375" style="40" customWidth="1"/>
    <col min="13314" max="13314" width="15" style="40" customWidth="1"/>
    <col min="13315" max="13315" width="16.85546875" style="40" customWidth="1"/>
    <col min="13316" max="13316" width="30" style="40" customWidth="1"/>
    <col min="13317" max="13317" width="36.140625" style="40" customWidth="1"/>
    <col min="13318" max="13318" width="17.28515625" style="40" customWidth="1"/>
    <col min="13319" max="13319" width="16.140625" style="40" customWidth="1"/>
    <col min="13320" max="13568" width="9.140625" style="40"/>
    <col min="13569" max="13569" width="9.7109375" style="40" customWidth="1"/>
    <col min="13570" max="13570" width="15" style="40" customWidth="1"/>
    <col min="13571" max="13571" width="16.85546875" style="40" customWidth="1"/>
    <col min="13572" max="13572" width="30" style="40" customWidth="1"/>
    <col min="13573" max="13573" width="36.140625" style="40" customWidth="1"/>
    <col min="13574" max="13574" width="17.28515625" style="40" customWidth="1"/>
    <col min="13575" max="13575" width="16.140625" style="40" customWidth="1"/>
    <col min="13576" max="13824" width="9.140625" style="40"/>
    <col min="13825" max="13825" width="9.7109375" style="40" customWidth="1"/>
    <col min="13826" max="13826" width="15" style="40" customWidth="1"/>
    <col min="13827" max="13827" width="16.85546875" style="40" customWidth="1"/>
    <col min="13828" max="13828" width="30" style="40" customWidth="1"/>
    <col min="13829" max="13829" width="36.140625" style="40" customWidth="1"/>
    <col min="13830" max="13830" width="17.28515625" style="40" customWidth="1"/>
    <col min="13831" max="13831" width="16.140625" style="40" customWidth="1"/>
    <col min="13832" max="14080" width="9.140625" style="40"/>
    <col min="14081" max="14081" width="9.7109375" style="40" customWidth="1"/>
    <col min="14082" max="14082" width="15" style="40" customWidth="1"/>
    <col min="14083" max="14083" width="16.85546875" style="40" customWidth="1"/>
    <col min="14084" max="14084" width="30" style="40" customWidth="1"/>
    <col min="14085" max="14085" width="36.140625" style="40" customWidth="1"/>
    <col min="14086" max="14086" width="17.28515625" style="40" customWidth="1"/>
    <col min="14087" max="14087" width="16.140625" style="40" customWidth="1"/>
    <col min="14088" max="14336" width="9.140625" style="40"/>
    <col min="14337" max="14337" width="9.7109375" style="40" customWidth="1"/>
    <col min="14338" max="14338" width="15" style="40" customWidth="1"/>
    <col min="14339" max="14339" width="16.85546875" style="40" customWidth="1"/>
    <col min="14340" max="14340" width="30" style="40" customWidth="1"/>
    <col min="14341" max="14341" width="36.140625" style="40" customWidth="1"/>
    <col min="14342" max="14342" width="17.28515625" style="40" customWidth="1"/>
    <col min="14343" max="14343" width="16.140625" style="40" customWidth="1"/>
    <col min="14344" max="14592" width="9.140625" style="40"/>
    <col min="14593" max="14593" width="9.7109375" style="40" customWidth="1"/>
    <col min="14594" max="14594" width="15" style="40" customWidth="1"/>
    <col min="14595" max="14595" width="16.85546875" style="40" customWidth="1"/>
    <col min="14596" max="14596" width="30" style="40" customWidth="1"/>
    <col min="14597" max="14597" width="36.140625" style="40" customWidth="1"/>
    <col min="14598" max="14598" width="17.28515625" style="40" customWidth="1"/>
    <col min="14599" max="14599" width="16.140625" style="40" customWidth="1"/>
    <col min="14600" max="14848" width="9.140625" style="40"/>
    <col min="14849" max="14849" width="9.7109375" style="40" customWidth="1"/>
    <col min="14850" max="14850" width="15" style="40" customWidth="1"/>
    <col min="14851" max="14851" width="16.85546875" style="40" customWidth="1"/>
    <col min="14852" max="14852" width="30" style="40" customWidth="1"/>
    <col min="14853" max="14853" width="36.140625" style="40" customWidth="1"/>
    <col min="14854" max="14854" width="17.28515625" style="40" customWidth="1"/>
    <col min="14855" max="14855" width="16.140625" style="40" customWidth="1"/>
    <col min="14856" max="15104" width="9.140625" style="40"/>
    <col min="15105" max="15105" width="9.7109375" style="40" customWidth="1"/>
    <col min="15106" max="15106" width="15" style="40" customWidth="1"/>
    <col min="15107" max="15107" width="16.85546875" style="40" customWidth="1"/>
    <col min="15108" max="15108" width="30" style="40" customWidth="1"/>
    <col min="15109" max="15109" width="36.140625" style="40" customWidth="1"/>
    <col min="15110" max="15110" width="17.28515625" style="40" customWidth="1"/>
    <col min="15111" max="15111" width="16.140625" style="40" customWidth="1"/>
    <col min="15112" max="15360" width="9.140625" style="40"/>
    <col min="15361" max="15361" width="9.7109375" style="40" customWidth="1"/>
    <col min="15362" max="15362" width="15" style="40" customWidth="1"/>
    <col min="15363" max="15363" width="16.85546875" style="40" customWidth="1"/>
    <col min="15364" max="15364" width="30" style="40" customWidth="1"/>
    <col min="15365" max="15365" width="36.140625" style="40" customWidth="1"/>
    <col min="15366" max="15366" width="17.28515625" style="40" customWidth="1"/>
    <col min="15367" max="15367" width="16.140625" style="40" customWidth="1"/>
    <col min="15368" max="15616" width="9.140625" style="40"/>
    <col min="15617" max="15617" width="9.7109375" style="40" customWidth="1"/>
    <col min="15618" max="15618" width="15" style="40" customWidth="1"/>
    <col min="15619" max="15619" width="16.85546875" style="40" customWidth="1"/>
    <col min="15620" max="15620" width="30" style="40" customWidth="1"/>
    <col min="15621" max="15621" width="36.140625" style="40" customWidth="1"/>
    <col min="15622" max="15622" width="17.28515625" style="40" customWidth="1"/>
    <col min="15623" max="15623" width="16.140625" style="40" customWidth="1"/>
    <col min="15624" max="15872" width="9.140625" style="40"/>
    <col min="15873" max="15873" width="9.7109375" style="40" customWidth="1"/>
    <col min="15874" max="15874" width="15" style="40" customWidth="1"/>
    <col min="15875" max="15875" width="16.85546875" style="40" customWidth="1"/>
    <col min="15876" max="15876" width="30" style="40" customWidth="1"/>
    <col min="15877" max="15877" width="36.140625" style="40" customWidth="1"/>
    <col min="15878" max="15878" width="17.28515625" style="40" customWidth="1"/>
    <col min="15879" max="15879" width="16.140625" style="40" customWidth="1"/>
    <col min="15880" max="16128" width="9.140625" style="40"/>
    <col min="16129" max="16129" width="9.7109375" style="40" customWidth="1"/>
    <col min="16130" max="16130" width="15" style="40" customWidth="1"/>
    <col min="16131" max="16131" width="16.85546875" style="40" customWidth="1"/>
    <col min="16132" max="16132" width="30" style="40" customWidth="1"/>
    <col min="16133" max="16133" width="36.140625" style="40" customWidth="1"/>
    <col min="16134" max="16134" width="17.28515625" style="40" customWidth="1"/>
    <col min="16135" max="16135" width="16.140625" style="40" customWidth="1"/>
    <col min="16136" max="16384" width="9.140625" style="40"/>
  </cols>
  <sheetData>
    <row r="1" spans="1:7" x14ac:dyDescent="0.2">
      <c r="A1" s="46" t="s">
        <v>35</v>
      </c>
      <c r="B1" s="47"/>
      <c r="C1" s="47"/>
      <c r="D1" s="47"/>
      <c r="E1" s="47"/>
      <c r="F1" s="48"/>
    </row>
    <row r="2" spans="1:7" x14ac:dyDescent="0.2">
      <c r="A2" s="49" t="s">
        <v>36</v>
      </c>
      <c r="B2" s="50"/>
      <c r="C2" s="50"/>
      <c r="D2" s="50"/>
      <c r="E2" s="50"/>
      <c r="F2" s="51"/>
    </row>
    <row r="3" spans="1:7" x14ac:dyDescent="0.2">
      <c r="A3" s="49"/>
      <c r="B3" s="50"/>
      <c r="C3" s="50"/>
      <c r="D3" s="50"/>
      <c r="E3" s="50"/>
      <c r="F3" s="51"/>
    </row>
    <row r="4" spans="1:7" x14ac:dyDescent="0.2">
      <c r="A4" s="49" t="s">
        <v>37</v>
      </c>
      <c r="B4" s="50"/>
      <c r="C4" s="50"/>
      <c r="D4" s="50"/>
      <c r="E4" s="50"/>
      <c r="F4" s="51"/>
    </row>
    <row r="5" spans="1:7" x14ac:dyDescent="0.2">
      <c r="A5" s="49" t="s">
        <v>92</v>
      </c>
      <c r="B5" s="50"/>
      <c r="C5" s="50"/>
      <c r="D5" s="50"/>
      <c r="E5" s="50"/>
      <c r="F5" s="51"/>
    </row>
    <row r="6" spans="1:7" x14ac:dyDescent="0.2">
      <c r="A6" s="49" t="s">
        <v>91</v>
      </c>
      <c r="B6" s="50"/>
      <c r="C6" s="50"/>
      <c r="D6" s="50"/>
      <c r="E6" s="50"/>
      <c r="F6" s="51"/>
    </row>
    <row r="7" spans="1:7" x14ac:dyDescent="0.2">
      <c r="A7" s="49"/>
      <c r="B7" s="50"/>
      <c r="C7" s="50"/>
      <c r="D7" s="50"/>
      <c r="E7" s="50"/>
      <c r="F7" s="51"/>
    </row>
    <row r="8" spans="1:7" x14ac:dyDescent="0.2">
      <c r="A8" s="52" t="s">
        <v>38</v>
      </c>
      <c r="B8" s="53"/>
      <c r="C8" s="53"/>
      <c r="D8" s="53"/>
      <c r="E8" s="53"/>
      <c r="F8" s="54"/>
    </row>
    <row r="9" spans="1:7" x14ac:dyDescent="0.2">
      <c r="A9" s="41"/>
    </row>
    <row r="10" spans="1:7" x14ac:dyDescent="0.2">
      <c r="A10" s="40" t="s">
        <v>278</v>
      </c>
    </row>
    <row r="12" spans="1:7" ht="15.75" x14ac:dyDescent="0.25">
      <c r="A12" s="42" t="s">
        <v>39</v>
      </c>
    </row>
    <row r="13" spans="1:7" x14ac:dyDescent="0.2">
      <c r="A13" s="43" t="s">
        <v>40</v>
      </c>
      <c r="B13" s="43" t="s">
        <v>41</v>
      </c>
      <c r="C13" s="43" t="s">
        <v>42</v>
      </c>
      <c r="D13" s="43" t="s">
        <v>43</v>
      </c>
      <c r="E13" s="43" t="s">
        <v>44</v>
      </c>
      <c r="F13" s="43" t="s">
        <v>45</v>
      </c>
      <c r="G13" s="43" t="s">
        <v>46</v>
      </c>
    </row>
    <row r="14" spans="1:7" x14ac:dyDescent="0.2">
      <c r="A14" s="55">
        <v>1</v>
      </c>
      <c r="B14" s="55" t="s">
        <v>47</v>
      </c>
      <c r="C14" s="55" t="s">
        <v>48</v>
      </c>
      <c r="D14" s="55" t="s">
        <v>49</v>
      </c>
      <c r="E14" s="55" t="s">
        <v>50</v>
      </c>
      <c r="F14" s="55" t="s">
        <v>51</v>
      </c>
      <c r="G14" s="55" t="s">
        <v>52</v>
      </c>
    </row>
    <row r="18" spans="1:7" x14ac:dyDescent="0.2">
      <c r="A18" s="43" t="s">
        <v>40</v>
      </c>
      <c r="B18" s="43" t="s">
        <v>41</v>
      </c>
      <c r="C18" s="43" t="s">
        <v>42</v>
      </c>
      <c r="D18" s="43" t="s">
        <v>43</v>
      </c>
      <c r="E18" s="43" t="s">
        <v>44</v>
      </c>
      <c r="F18" s="43" t="s">
        <v>45</v>
      </c>
      <c r="G18" s="43" t="s">
        <v>46</v>
      </c>
    </row>
    <row r="19" spans="1:7" x14ac:dyDescent="0.2">
      <c r="A19" s="55">
        <v>1</v>
      </c>
      <c r="B19" s="55" t="s">
        <v>47</v>
      </c>
      <c r="C19" s="55" t="s">
        <v>48</v>
      </c>
      <c r="D19" s="55" t="s">
        <v>49</v>
      </c>
      <c r="E19" s="55" t="s">
        <v>50</v>
      </c>
      <c r="F19" s="55" t="str">
        <f>CONCATENATE(LEFT(B19,3),LEFT(C19,1),LEFT($A$10,1),LEN(D19))</f>
        <v>БорИ_20</v>
      </c>
      <c r="G19" s="55" t="str">
        <f>CONCATENATE(RIGHT(E19,LEN(E19)-FIND("#",E19)),LEFT($A$10,1),UPPER(LEFT(D19,1)))</f>
        <v>BNS-2415_М</v>
      </c>
    </row>
    <row r="20" spans="1:7" x14ac:dyDescent="0.2">
      <c r="A20" s="55">
        <v>2</v>
      </c>
      <c r="B20" s="55" t="s">
        <v>53</v>
      </c>
      <c r="C20" s="55" t="s">
        <v>54</v>
      </c>
      <c r="D20" s="55" t="s">
        <v>55</v>
      </c>
      <c r="E20" s="55" t="s">
        <v>56</v>
      </c>
      <c r="F20" s="55" t="str">
        <f t="shared" ref="F20:F29" si="0">CONCATENATE(LEFT(B20,3),LEFT(C20,1),LEFT($A$10,1),LEN(D20))</f>
        <v>ГусП_20</v>
      </c>
      <c r="G20" s="55" t="str">
        <f t="shared" ref="G20:G29" si="1">CONCATENATE(RIGHT(E20,LEN(E20)-FIND("#",E20)),LEFT($A$10,1),UPPER(LEFT(D20,1)))</f>
        <v>BNS-2715_М</v>
      </c>
    </row>
    <row r="21" spans="1:7" x14ac:dyDescent="0.2">
      <c r="A21" s="55">
        <v>3</v>
      </c>
      <c r="B21" s="55" t="s">
        <v>57</v>
      </c>
      <c r="C21" s="55" t="s">
        <v>58</v>
      </c>
      <c r="D21" s="55" t="s">
        <v>55</v>
      </c>
      <c r="E21" s="55" t="s">
        <v>59</v>
      </c>
      <c r="F21" s="55" t="str">
        <f t="shared" si="0"/>
        <v>КомА_20</v>
      </c>
      <c r="G21" s="55" t="str">
        <f t="shared" si="1"/>
        <v>BNS-3015_М</v>
      </c>
    </row>
    <row r="22" spans="1:7" x14ac:dyDescent="0.2">
      <c r="A22" s="55">
        <v>4</v>
      </c>
      <c r="B22" s="55" t="s">
        <v>60</v>
      </c>
      <c r="C22" s="55" t="s">
        <v>61</v>
      </c>
      <c r="D22" s="55" t="s">
        <v>55</v>
      </c>
      <c r="E22" s="55" t="s">
        <v>56</v>
      </c>
      <c r="F22" s="55" t="str">
        <f t="shared" si="0"/>
        <v>КомА_20</v>
      </c>
      <c r="G22" s="55" t="str">
        <f t="shared" si="1"/>
        <v>BNS-2715_М</v>
      </c>
    </row>
    <row r="23" spans="1:7" x14ac:dyDescent="0.2">
      <c r="A23" s="55">
        <v>5</v>
      </c>
      <c r="B23" s="55" t="s">
        <v>62</v>
      </c>
      <c r="C23" s="55" t="s">
        <v>63</v>
      </c>
      <c r="D23" s="55" t="s">
        <v>64</v>
      </c>
      <c r="E23" s="55" t="s">
        <v>65</v>
      </c>
      <c r="F23" s="55" t="str">
        <f t="shared" si="0"/>
        <v>МалЛ_27</v>
      </c>
      <c r="G23" s="55" t="str">
        <f t="shared" si="1"/>
        <v>BNS-16189_Р</v>
      </c>
    </row>
    <row r="24" spans="1:7" x14ac:dyDescent="0.2">
      <c r="A24" s="55">
        <v>6</v>
      </c>
      <c r="B24" s="55" t="s">
        <v>66</v>
      </c>
      <c r="C24" s="55" t="s">
        <v>67</v>
      </c>
      <c r="D24" s="55" t="s">
        <v>68</v>
      </c>
      <c r="E24" s="55" t="s">
        <v>69</v>
      </c>
      <c r="F24" s="55" t="str">
        <f t="shared" si="0"/>
        <v>ПечН_9</v>
      </c>
      <c r="G24" s="55" t="str">
        <f t="shared" si="1"/>
        <v>BU-1_Б</v>
      </c>
    </row>
    <row r="25" spans="1:7" x14ac:dyDescent="0.2">
      <c r="A25" s="55">
        <v>7</v>
      </c>
      <c r="B25" s="55" t="s">
        <v>70</v>
      </c>
      <c r="C25" s="55" t="s">
        <v>71</v>
      </c>
      <c r="D25" s="55" t="s">
        <v>55</v>
      </c>
      <c r="E25" s="55" t="s">
        <v>50</v>
      </c>
      <c r="F25" s="55" t="str">
        <f t="shared" si="0"/>
        <v>ПулО_20</v>
      </c>
      <c r="G25" s="55" t="str">
        <f t="shared" si="1"/>
        <v>BNS-2415_М</v>
      </c>
    </row>
    <row r="26" spans="1:7" x14ac:dyDescent="0.2">
      <c r="A26" s="55">
        <v>8</v>
      </c>
      <c r="B26" s="55" t="s">
        <v>72</v>
      </c>
      <c r="C26" s="55" t="s">
        <v>48</v>
      </c>
      <c r="D26" s="55" t="s">
        <v>73</v>
      </c>
      <c r="E26" s="55" t="s">
        <v>74</v>
      </c>
      <c r="F26" s="55" t="str">
        <f t="shared" si="0"/>
        <v>ПчеИ_20</v>
      </c>
      <c r="G26" s="55" t="str">
        <f t="shared" si="1"/>
        <v>VI-1_Г</v>
      </c>
    </row>
    <row r="27" spans="1:7" x14ac:dyDescent="0.2">
      <c r="A27" s="55">
        <v>9</v>
      </c>
      <c r="B27" s="55" t="s">
        <v>75</v>
      </c>
      <c r="C27" s="55" t="s">
        <v>76</v>
      </c>
      <c r="D27" s="55" t="s">
        <v>77</v>
      </c>
      <c r="E27" s="55" t="s">
        <v>78</v>
      </c>
      <c r="F27" s="55" t="str">
        <f t="shared" si="0"/>
        <v>СмиР_17</v>
      </c>
      <c r="G27" s="55" t="str">
        <f t="shared" si="1"/>
        <v>BU-2_Г</v>
      </c>
    </row>
    <row r="28" spans="1:7" x14ac:dyDescent="0.2">
      <c r="A28" s="55">
        <v>10</v>
      </c>
      <c r="B28" s="55" t="s">
        <v>79</v>
      </c>
      <c r="C28" s="55" t="s">
        <v>80</v>
      </c>
      <c r="D28" s="55" t="s">
        <v>81</v>
      </c>
      <c r="E28" s="55" t="s">
        <v>82</v>
      </c>
      <c r="F28" s="55" t="str">
        <f t="shared" si="0"/>
        <v>СтеП_26</v>
      </c>
      <c r="G28" s="55" t="str">
        <f t="shared" si="1"/>
        <v>BKT-1440_Р</v>
      </c>
    </row>
    <row r="29" spans="1:7" x14ac:dyDescent="0.2">
      <c r="A29" s="55">
        <v>11</v>
      </c>
      <c r="B29" s="55" t="s">
        <v>83</v>
      </c>
      <c r="C29" s="55" t="s">
        <v>84</v>
      </c>
      <c r="D29" s="55" t="s">
        <v>49</v>
      </c>
      <c r="E29" s="55" t="s">
        <v>85</v>
      </c>
      <c r="F29" s="55" t="str">
        <f t="shared" si="0"/>
        <v>ТунО_20</v>
      </c>
      <c r="G29" s="55" t="str">
        <f t="shared" si="1"/>
        <v>BKT-1635_М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I124"/>
  <sheetViews>
    <sheetView workbookViewId="0">
      <selection activeCell="H25" sqref="H25"/>
    </sheetView>
  </sheetViews>
  <sheetFormatPr defaultRowHeight="15" x14ac:dyDescent="0.25"/>
  <cols>
    <col min="1" max="1" width="17.140625" style="71" customWidth="1"/>
    <col min="2" max="5" width="13.5703125" style="71" customWidth="1"/>
    <col min="6" max="6" width="16" style="72" customWidth="1"/>
    <col min="7" max="7" width="13.42578125" style="73" customWidth="1"/>
    <col min="8" max="8" width="11.42578125" style="74" customWidth="1"/>
    <col min="9" max="16384" width="9.140625" style="71"/>
  </cols>
  <sheetData>
    <row r="12" spans="1:7" ht="15.75" thickBot="1" x14ac:dyDescent="0.3"/>
    <row r="13" spans="1:7" ht="33" customHeight="1" thickBot="1" x14ac:dyDescent="0.3">
      <c r="A13" s="81" t="s">
        <v>93</v>
      </c>
      <c r="B13" s="82">
        <v>850</v>
      </c>
      <c r="C13" s="82">
        <v>950</v>
      </c>
      <c r="D13" s="82">
        <v>1000</v>
      </c>
      <c r="E13" s="82">
        <v>1200</v>
      </c>
      <c r="F13" s="83" t="s">
        <v>94</v>
      </c>
      <c r="G13" s="81" t="s">
        <v>95</v>
      </c>
    </row>
    <row r="14" spans="1:7" ht="15.75" thickBot="1" x14ac:dyDescent="0.3">
      <c r="A14" s="84" t="s">
        <v>96</v>
      </c>
      <c r="B14" s="84"/>
      <c r="C14" s="84"/>
      <c r="D14" s="84"/>
      <c r="E14" s="84"/>
      <c r="F14" s="85"/>
      <c r="G14" s="85"/>
    </row>
    <row r="15" spans="1:7" ht="15.75" thickBot="1" x14ac:dyDescent="0.3"/>
    <row r="16" spans="1:7" ht="16.5" thickBot="1" x14ac:dyDescent="0.3">
      <c r="C16" s="75" t="s">
        <v>97</v>
      </c>
      <c r="D16" s="76">
        <v>0</v>
      </c>
    </row>
    <row r="17" spans="1:9" ht="15.75" thickBot="1" x14ac:dyDescent="0.3"/>
    <row r="18" spans="1:9" ht="15.75" thickBot="1" x14ac:dyDescent="0.3">
      <c r="A18" s="81" t="s">
        <v>98</v>
      </c>
      <c r="B18" s="81" t="s">
        <v>99</v>
      </c>
      <c r="C18" s="81" t="s">
        <v>100</v>
      </c>
      <c r="D18" s="81" t="s">
        <v>101</v>
      </c>
      <c r="E18" s="81" t="s">
        <v>102</v>
      </c>
      <c r="F18" s="86" t="s">
        <v>103</v>
      </c>
      <c r="G18" s="86" t="s">
        <v>104</v>
      </c>
      <c r="H18" s="87" t="s">
        <v>105</v>
      </c>
    </row>
    <row r="19" spans="1:9" ht="36" customHeight="1" thickBot="1" x14ac:dyDescent="0.3">
      <c r="A19" s="81" t="s">
        <v>106</v>
      </c>
      <c r="B19" s="81" t="s">
        <v>107</v>
      </c>
      <c r="C19" s="81"/>
      <c r="D19" s="81" t="s">
        <v>108</v>
      </c>
      <c r="E19" s="81" t="s">
        <v>109</v>
      </c>
      <c r="F19" s="86"/>
      <c r="G19" s="86"/>
      <c r="H19" s="88" t="s">
        <v>110</v>
      </c>
    </row>
    <row r="20" spans="1:9" ht="15.75" thickBot="1" x14ac:dyDescent="0.3">
      <c r="A20" s="89">
        <v>1</v>
      </c>
      <c r="B20" s="89" t="s">
        <v>111</v>
      </c>
      <c r="C20" s="89" t="s">
        <v>112</v>
      </c>
      <c r="D20" s="89">
        <v>1990</v>
      </c>
      <c r="E20" s="89">
        <v>63</v>
      </c>
      <c r="F20" s="90">
        <v>2800</v>
      </c>
      <c r="G20" s="91" t="s">
        <v>113</v>
      </c>
      <c r="H20" s="92"/>
      <c r="I20" s="77"/>
    </row>
    <row r="21" spans="1:9" ht="15.75" thickBot="1" x14ac:dyDescent="0.3">
      <c r="A21" s="89">
        <v>2</v>
      </c>
      <c r="B21" s="89" t="s">
        <v>111</v>
      </c>
      <c r="C21" s="89" t="s">
        <v>114</v>
      </c>
      <c r="D21" s="89">
        <v>1990</v>
      </c>
      <c r="E21" s="89">
        <v>80</v>
      </c>
      <c r="F21" s="90">
        <v>3300</v>
      </c>
      <c r="G21" s="91" t="s">
        <v>115</v>
      </c>
      <c r="H21" s="92"/>
      <c r="I21" s="77"/>
    </row>
    <row r="22" spans="1:9" ht="15.75" thickBot="1" x14ac:dyDescent="0.3">
      <c r="A22" s="89">
        <v>3</v>
      </c>
      <c r="B22" s="89" t="s">
        <v>111</v>
      </c>
      <c r="C22" s="89" t="s">
        <v>116</v>
      </c>
      <c r="D22" s="89">
        <v>1992</v>
      </c>
      <c r="E22" s="89">
        <v>47</v>
      </c>
      <c r="F22" s="90">
        <v>3700</v>
      </c>
      <c r="G22" s="91" t="s">
        <v>117</v>
      </c>
      <c r="H22" s="92"/>
      <c r="I22" s="77"/>
    </row>
    <row r="23" spans="1:9" ht="15.75" thickBot="1" x14ac:dyDescent="0.3">
      <c r="A23" s="89">
        <v>4</v>
      </c>
      <c r="B23" s="89" t="s">
        <v>111</v>
      </c>
      <c r="C23" s="89" t="s">
        <v>118</v>
      </c>
      <c r="D23" s="89">
        <v>1991</v>
      </c>
      <c r="E23" s="89">
        <v>77</v>
      </c>
      <c r="F23" s="90">
        <v>3300</v>
      </c>
      <c r="G23" s="91" t="s">
        <v>119</v>
      </c>
      <c r="H23" s="92"/>
      <c r="I23" s="77"/>
    </row>
    <row r="24" spans="1:9" ht="15.75" thickBot="1" x14ac:dyDescent="0.3">
      <c r="A24" s="89">
        <v>5</v>
      </c>
      <c r="B24" s="89" t="s">
        <v>111</v>
      </c>
      <c r="C24" s="89" t="s">
        <v>118</v>
      </c>
      <c r="D24" s="89">
        <v>1992</v>
      </c>
      <c r="E24" s="89">
        <v>61</v>
      </c>
      <c r="F24" s="90">
        <v>3600</v>
      </c>
      <c r="G24" s="91" t="s">
        <v>120</v>
      </c>
      <c r="H24" s="92"/>
      <c r="I24" s="77"/>
    </row>
    <row r="25" spans="1:9" ht="15.75" thickBot="1" x14ac:dyDescent="0.3">
      <c r="A25" s="89">
        <v>6</v>
      </c>
      <c r="B25" s="89" t="s">
        <v>111</v>
      </c>
      <c r="C25" s="89" t="s">
        <v>118</v>
      </c>
      <c r="D25" s="89">
        <v>1992</v>
      </c>
      <c r="E25" s="89">
        <v>60</v>
      </c>
      <c r="F25" s="90">
        <v>4000</v>
      </c>
      <c r="G25" s="91" t="s">
        <v>121</v>
      </c>
      <c r="H25" s="92"/>
      <c r="I25" s="77"/>
    </row>
    <row r="26" spans="1:9" ht="15.75" thickBot="1" x14ac:dyDescent="0.3">
      <c r="A26" s="89">
        <v>7</v>
      </c>
      <c r="B26" s="89" t="s">
        <v>111</v>
      </c>
      <c r="C26" s="89" t="s">
        <v>122</v>
      </c>
      <c r="D26" s="89">
        <v>1994</v>
      </c>
      <c r="E26" s="89">
        <v>27</v>
      </c>
      <c r="F26" s="90">
        <v>4300</v>
      </c>
      <c r="G26" s="91" t="s">
        <v>123</v>
      </c>
      <c r="H26" s="92"/>
      <c r="I26" s="77"/>
    </row>
    <row r="27" spans="1:9" ht="15.75" thickBot="1" x14ac:dyDescent="0.3">
      <c r="A27" s="89">
        <v>8</v>
      </c>
      <c r="B27" s="89" t="s">
        <v>111</v>
      </c>
      <c r="C27" s="89" t="s">
        <v>114</v>
      </c>
      <c r="D27" s="89">
        <v>1992</v>
      </c>
      <c r="E27" s="89">
        <v>65</v>
      </c>
      <c r="F27" s="90">
        <v>3800</v>
      </c>
      <c r="G27" s="91" t="s">
        <v>124</v>
      </c>
      <c r="H27" s="92"/>
      <c r="I27" s="77"/>
    </row>
    <row r="28" spans="1:9" ht="15.75" thickBot="1" x14ac:dyDescent="0.3">
      <c r="A28" s="89">
        <v>9</v>
      </c>
      <c r="B28" s="89" t="s">
        <v>111</v>
      </c>
      <c r="C28" s="89" t="s">
        <v>118</v>
      </c>
      <c r="D28" s="89">
        <v>1992</v>
      </c>
      <c r="E28" s="89">
        <v>77</v>
      </c>
      <c r="F28" s="90">
        <v>3600</v>
      </c>
      <c r="G28" s="91" t="s">
        <v>125</v>
      </c>
      <c r="H28" s="92"/>
      <c r="I28" s="77"/>
    </row>
    <row r="29" spans="1:9" ht="15.75" thickBot="1" x14ac:dyDescent="0.3">
      <c r="A29" s="89">
        <v>10</v>
      </c>
      <c r="B29" s="89" t="s">
        <v>111</v>
      </c>
      <c r="C29" s="89" t="s">
        <v>126</v>
      </c>
      <c r="D29" s="89">
        <v>1996</v>
      </c>
      <c r="E29" s="89">
        <v>73</v>
      </c>
      <c r="F29" s="90">
        <v>5800</v>
      </c>
      <c r="G29" s="91" t="s">
        <v>127</v>
      </c>
      <c r="H29" s="92"/>
      <c r="I29" s="77"/>
    </row>
    <row r="30" spans="1:9" ht="15.75" thickBot="1" x14ac:dyDescent="0.3">
      <c r="A30" s="89">
        <v>11</v>
      </c>
      <c r="B30" s="89" t="s">
        <v>128</v>
      </c>
      <c r="C30" s="89" t="s">
        <v>118</v>
      </c>
      <c r="D30" s="89">
        <v>1992</v>
      </c>
      <c r="E30" s="89">
        <v>36</v>
      </c>
      <c r="F30" s="90">
        <v>3000</v>
      </c>
      <c r="G30" s="91" t="s">
        <v>129</v>
      </c>
      <c r="H30" s="92"/>
      <c r="I30" s="77"/>
    </row>
    <row r="31" spans="1:9" ht="15.75" thickBot="1" x14ac:dyDescent="0.3">
      <c r="A31" s="89">
        <v>12</v>
      </c>
      <c r="B31" s="89" t="s">
        <v>111</v>
      </c>
      <c r="C31" s="89" t="s">
        <v>118</v>
      </c>
      <c r="D31" s="89">
        <v>1993</v>
      </c>
      <c r="E31" s="89">
        <v>32</v>
      </c>
      <c r="F31" s="90">
        <v>4200</v>
      </c>
      <c r="G31" s="91" t="s">
        <v>130</v>
      </c>
      <c r="H31" s="92"/>
      <c r="I31" s="77"/>
    </row>
    <row r="32" spans="1:9" ht="15.75" thickBot="1" x14ac:dyDescent="0.3">
      <c r="A32" s="89">
        <v>13</v>
      </c>
      <c r="B32" s="89" t="s">
        <v>111</v>
      </c>
      <c r="C32" s="89" t="s">
        <v>131</v>
      </c>
      <c r="D32" s="89">
        <v>1993</v>
      </c>
      <c r="E32" s="89">
        <v>57</v>
      </c>
      <c r="F32" s="90">
        <v>4000</v>
      </c>
      <c r="G32" s="91" t="s">
        <v>132</v>
      </c>
      <c r="H32" s="92"/>
      <c r="I32" s="77"/>
    </row>
    <row r="33" spans="1:9" ht="15.75" thickBot="1" x14ac:dyDescent="0.3">
      <c r="A33" s="89">
        <v>14</v>
      </c>
      <c r="B33" s="89" t="s">
        <v>111</v>
      </c>
      <c r="C33" s="89" t="s">
        <v>118</v>
      </c>
      <c r="D33" s="89">
        <v>1993</v>
      </c>
      <c r="E33" s="89">
        <v>40</v>
      </c>
      <c r="F33" s="90">
        <v>3700</v>
      </c>
      <c r="G33" s="91" t="s">
        <v>133</v>
      </c>
      <c r="H33" s="92"/>
      <c r="I33" s="77"/>
    </row>
    <row r="34" spans="1:9" ht="15.75" thickBot="1" x14ac:dyDescent="0.3">
      <c r="A34" s="89">
        <v>15</v>
      </c>
      <c r="B34" s="89" t="s">
        <v>111</v>
      </c>
      <c r="C34" s="89" t="s">
        <v>118</v>
      </c>
      <c r="D34" s="89">
        <v>1991</v>
      </c>
      <c r="E34" s="89">
        <v>80</v>
      </c>
      <c r="F34" s="90">
        <v>3200</v>
      </c>
      <c r="G34" s="91" t="s">
        <v>134</v>
      </c>
      <c r="H34" s="92"/>
      <c r="I34" s="77"/>
    </row>
    <row r="35" spans="1:9" ht="15.75" thickBot="1" x14ac:dyDescent="0.3">
      <c r="A35" s="89">
        <v>16</v>
      </c>
      <c r="B35" s="89" t="s">
        <v>128</v>
      </c>
      <c r="C35" s="89" t="s">
        <v>118</v>
      </c>
      <c r="D35" s="89">
        <v>1991</v>
      </c>
      <c r="E35" s="89">
        <v>75</v>
      </c>
      <c r="F35" s="90">
        <v>3400</v>
      </c>
      <c r="G35" s="91" t="s">
        <v>135</v>
      </c>
      <c r="H35" s="92"/>
      <c r="I35" s="77"/>
    </row>
    <row r="36" spans="1:9" ht="15.75" thickBot="1" x14ac:dyDescent="0.3">
      <c r="A36" s="89">
        <v>17</v>
      </c>
      <c r="B36" s="89" t="s">
        <v>111</v>
      </c>
      <c r="C36" s="89" t="s">
        <v>131</v>
      </c>
      <c r="D36" s="89">
        <v>1990</v>
      </c>
      <c r="E36" s="89">
        <v>55</v>
      </c>
      <c r="F36" s="90">
        <v>2900</v>
      </c>
      <c r="G36" s="91" t="s">
        <v>136</v>
      </c>
      <c r="H36" s="92"/>
      <c r="I36" s="77"/>
    </row>
    <row r="37" spans="1:9" ht="15.75" thickBot="1" x14ac:dyDescent="0.3">
      <c r="A37" s="89">
        <v>18</v>
      </c>
      <c r="B37" s="89" t="s">
        <v>111</v>
      </c>
      <c r="C37" s="89" t="s">
        <v>137</v>
      </c>
      <c r="D37" s="89">
        <v>1993</v>
      </c>
      <c r="E37" s="89">
        <v>40</v>
      </c>
      <c r="F37" s="90">
        <v>3800</v>
      </c>
      <c r="G37" s="91" t="s">
        <v>138</v>
      </c>
      <c r="H37" s="92"/>
      <c r="I37" s="77"/>
    </row>
    <row r="38" spans="1:9" ht="15.75" thickBot="1" x14ac:dyDescent="0.3">
      <c r="A38" s="89">
        <v>19</v>
      </c>
      <c r="B38" s="89" t="s">
        <v>128</v>
      </c>
      <c r="C38" s="89" t="s">
        <v>118</v>
      </c>
      <c r="D38" s="89">
        <v>1994</v>
      </c>
      <c r="E38" s="89">
        <v>50</v>
      </c>
      <c r="F38" s="90">
        <v>4000</v>
      </c>
      <c r="G38" s="91" t="s">
        <v>139</v>
      </c>
      <c r="H38" s="92"/>
      <c r="I38" s="77"/>
    </row>
    <row r="39" spans="1:9" ht="15.75" thickBot="1" x14ac:dyDescent="0.3">
      <c r="A39" s="89">
        <v>20</v>
      </c>
      <c r="B39" s="89" t="s">
        <v>111</v>
      </c>
      <c r="C39" s="89" t="s">
        <v>118</v>
      </c>
      <c r="D39" s="89">
        <v>1992</v>
      </c>
      <c r="E39" s="89">
        <v>64</v>
      </c>
      <c r="F39" s="90">
        <v>3900</v>
      </c>
      <c r="G39" s="91" t="s">
        <v>140</v>
      </c>
      <c r="H39" s="92"/>
      <c r="I39" s="77"/>
    </row>
    <row r="40" spans="1:9" ht="15.75" thickBot="1" x14ac:dyDescent="0.3">
      <c r="A40" s="89">
        <v>21</v>
      </c>
      <c r="B40" s="89" t="s">
        <v>128</v>
      </c>
      <c r="C40" s="89" t="s">
        <v>126</v>
      </c>
      <c r="D40" s="89">
        <v>1993</v>
      </c>
      <c r="E40" s="89">
        <v>80</v>
      </c>
      <c r="F40" s="90">
        <v>3000</v>
      </c>
      <c r="G40" s="91" t="s">
        <v>141</v>
      </c>
      <c r="H40" s="92"/>
      <c r="I40" s="77"/>
    </row>
    <row r="41" spans="1:9" ht="15.75" thickBot="1" x14ac:dyDescent="0.3">
      <c r="A41" s="89">
        <v>22</v>
      </c>
      <c r="B41" s="89" t="s">
        <v>142</v>
      </c>
      <c r="C41" s="89" t="s">
        <v>143</v>
      </c>
      <c r="D41" s="89">
        <v>1991</v>
      </c>
      <c r="E41" s="89">
        <v>88</v>
      </c>
      <c r="F41" s="90">
        <v>3500</v>
      </c>
      <c r="G41" s="91" t="s">
        <v>144</v>
      </c>
      <c r="H41" s="92"/>
      <c r="I41" s="77"/>
    </row>
    <row r="42" spans="1:9" ht="15.75" thickBot="1" x14ac:dyDescent="0.3">
      <c r="A42" s="89">
        <v>23</v>
      </c>
      <c r="B42" s="89" t="s">
        <v>142</v>
      </c>
      <c r="C42" s="89" t="s">
        <v>131</v>
      </c>
      <c r="D42" s="89">
        <v>1994</v>
      </c>
      <c r="E42" s="89">
        <v>40</v>
      </c>
      <c r="F42" s="90">
        <v>4500</v>
      </c>
      <c r="G42" s="91" t="s">
        <v>145</v>
      </c>
      <c r="H42" s="92"/>
      <c r="I42" s="77"/>
    </row>
    <row r="43" spans="1:9" ht="15.75" thickBot="1" x14ac:dyDescent="0.3">
      <c r="A43" s="89">
        <v>24</v>
      </c>
      <c r="B43" s="89" t="s">
        <v>142</v>
      </c>
      <c r="C43" s="89" t="s">
        <v>126</v>
      </c>
      <c r="D43" s="89">
        <v>1994</v>
      </c>
      <c r="E43" s="89">
        <v>47</v>
      </c>
      <c r="F43" s="90">
        <v>4300</v>
      </c>
      <c r="G43" s="91" t="s">
        <v>146</v>
      </c>
      <c r="H43" s="92"/>
      <c r="I43" s="77"/>
    </row>
    <row r="44" spans="1:9" ht="15.75" thickBot="1" x14ac:dyDescent="0.3">
      <c r="A44" s="89">
        <v>25</v>
      </c>
      <c r="B44" s="89" t="s">
        <v>142</v>
      </c>
      <c r="C44" s="89" t="s">
        <v>143</v>
      </c>
      <c r="D44" s="89">
        <v>1991</v>
      </c>
      <c r="E44" s="89">
        <v>86</v>
      </c>
      <c r="F44" s="90">
        <v>3800</v>
      </c>
      <c r="G44" s="91" t="s">
        <v>147</v>
      </c>
      <c r="H44" s="92"/>
      <c r="I44" s="77"/>
    </row>
    <row r="45" spans="1:9" ht="15.75" thickBot="1" x14ac:dyDescent="0.3">
      <c r="A45" s="89">
        <v>26</v>
      </c>
      <c r="B45" s="89" t="s">
        <v>142</v>
      </c>
      <c r="C45" s="89" t="s">
        <v>118</v>
      </c>
      <c r="D45" s="89">
        <v>1993</v>
      </c>
      <c r="E45" s="89">
        <v>93</v>
      </c>
      <c r="F45" s="90">
        <v>3800</v>
      </c>
      <c r="G45" s="91" t="s">
        <v>148</v>
      </c>
      <c r="H45" s="92"/>
      <c r="I45" s="77"/>
    </row>
    <row r="46" spans="1:9" ht="15.75" thickBot="1" x14ac:dyDescent="0.3">
      <c r="A46" s="89">
        <v>27</v>
      </c>
      <c r="B46" s="89" t="s">
        <v>142</v>
      </c>
      <c r="C46" s="89" t="s">
        <v>118</v>
      </c>
      <c r="D46" s="89">
        <v>1994</v>
      </c>
      <c r="E46" s="89">
        <v>30</v>
      </c>
      <c r="F46" s="90">
        <v>4100</v>
      </c>
      <c r="G46" s="91" t="s">
        <v>149</v>
      </c>
      <c r="H46" s="92"/>
      <c r="I46" s="77"/>
    </row>
    <row r="47" spans="1:9" ht="15.75" thickBot="1" x14ac:dyDescent="0.3">
      <c r="A47" s="89">
        <v>28</v>
      </c>
      <c r="B47" s="89" t="s">
        <v>142</v>
      </c>
      <c r="C47" s="89" t="s">
        <v>150</v>
      </c>
      <c r="D47" s="89">
        <v>1994</v>
      </c>
      <c r="E47" s="89">
        <v>70</v>
      </c>
      <c r="F47" s="90">
        <v>4300</v>
      </c>
      <c r="G47" s="91" t="s">
        <v>151</v>
      </c>
      <c r="H47" s="92"/>
      <c r="I47" s="77"/>
    </row>
    <row r="48" spans="1:9" ht="15.75" thickBot="1" x14ac:dyDescent="0.3">
      <c r="A48" s="89">
        <v>29</v>
      </c>
      <c r="B48" s="89" t="s">
        <v>142</v>
      </c>
      <c r="C48" s="89" t="s">
        <v>150</v>
      </c>
      <c r="D48" s="89">
        <v>1991</v>
      </c>
      <c r="E48" s="89">
        <v>95</v>
      </c>
      <c r="F48" s="90">
        <v>3200</v>
      </c>
      <c r="G48" s="91" t="s">
        <v>152</v>
      </c>
      <c r="H48" s="92"/>
      <c r="I48" s="77"/>
    </row>
    <row r="49" spans="1:9" ht="15.75" thickBot="1" x14ac:dyDescent="0.3">
      <c r="A49" s="89">
        <v>30</v>
      </c>
      <c r="B49" s="89" t="s">
        <v>128</v>
      </c>
      <c r="C49" s="89" t="s">
        <v>150</v>
      </c>
      <c r="D49" s="89">
        <v>1992</v>
      </c>
      <c r="E49" s="89">
        <v>43</v>
      </c>
      <c r="F49" s="90">
        <v>4300</v>
      </c>
      <c r="G49" s="91" t="s">
        <v>153</v>
      </c>
      <c r="H49" s="92"/>
      <c r="I49" s="77"/>
    </row>
    <row r="50" spans="1:9" ht="15.75" thickBot="1" x14ac:dyDescent="0.3">
      <c r="A50" s="89">
        <v>31</v>
      </c>
      <c r="B50" s="89" t="s">
        <v>142</v>
      </c>
      <c r="C50" s="89" t="s">
        <v>143</v>
      </c>
      <c r="D50" s="89">
        <v>1993</v>
      </c>
      <c r="E50" s="89">
        <v>56</v>
      </c>
      <c r="F50" s="90">
        <v>3200</v>
      </c>
      <c r="G50" s="91" t="s">
        <v>154</v>
      </c>
      <c r="H50" s="92"/>
      <c r="I50" s="77"/>
    </row>
    <row r="51" spans="1:9" ht="15.75" thickBot="1" x14ac:dyDescent="0.3">
      <c r="A51" s="89">
        <v>32</v>
      </c>
      <c r="B51" s="89" t="s">
        <v>142</v>
      </c>
      <c r="C51" s="89" t="s">
        <v>118</v>
      </c>
      <c r="D51" s="89">
        <v>1991</v>
      </c>
      <c r="E51" s="89">
        <v>82</v>
      </c>
      <c r="F51" s="90">
        <v>3200</v>
      </c>
      <c r="G51" s="91" t="s">
        <v>155</v>
      </c>
      <c r="H51" s="92"/>
      <c r="I51" s="77"/>
    </row>
    <row r="52" spans="1:9" ht="15.75" thickBot="1" x14ac:dyDescent="0.3">
      <c r="A52" s="89">
        <v>33</v>
      </c>
      <c r="B52" s="89" t="s">
        <v>142</v>
      </c>
      <c r="C52" s="89" t="s">
        <v>156</v>
      </c>
      <c r="D52" s="89">
        <v>1992</v>
      </c>
      <c r="E52" s="89">
        <v>77</v>
      </c>
      <c r="F52" s="90">
        <v>3500</v>
      </c>
      <c r="G52" s="91" t="s">
        <v>157</v>
      </c>
      <c r="H52" s="92"/>
      <c r="I52" s="77"/>
    </row>
    <row r="53" spans="1:9" ht="15.75" thickBot="1" x14ac:dyDescent="0.3">
      <c r="A53" s="89">
        <v>34</v>
      </c>
      <c r="B53" s="89" t="s">
        <v>142</v>
      </c>
      <c r="C53" s="89" t="s">
        <v>158</v>
      </c>
      <c r="D53" s="89">
        <v>1992</v>
      </c>
      <c r="E53" s="89">
        <v>45</v>
      </c>
      <c r="F53" s="90">
        <v>4200</v>
      </c>
      <c r="G53" s="91" t="s">
        <v>159</v>
      </c>
      <c r="H53" s="92"/>
      <c r="I53" s="77"/>
    </row>
    <row r="54" spans="1:9" ht="15.75" thickBot="1" x14ac:dyDescent="0.3">
      <c r="A54" s="89">
        <v>35</v>
      </c>
      <c r="B54" s="89" t="s">
        <v>142</v>
      </c>
      <c r="C54" s="89" t="s">
        <v>150</v>
      </c>
      <c r="D54" s="89">
        <v>1992</v>
      </c>
      <c r="E54" s="89">
        <v>76</v>
      </c>
      <c r="F54" s="90">
        <v>4000</v>
      </c>
      <c r="G54" s="91" t="s">
        <v>160</v>
      </c>
      <c r="H54" s="92"/>
      <c r="I54" s="77"/>
    </row>
    <row r="55" spans="1:9" ht="15.75" thickBot="1" x14ac:dyDescent="0.3">
      <c r="A55" s="89">
        <v>36</v>
      </c>
      <c r="B55" s="89" t="s">
        <v>128</v>
      </c>
      <c r="C55" s="89" t="s">
        <v>150</v>
      </c>
      <c r="D55" s="89">
        <v>1993</v>
      </c>
      <c r="E55" s="89">
        <v>30</v>
      </c>
      <c r="F55" s="90">
        <v>4300</v>
      </c>
      <c r="G55" s="91" t="s">
        <v>161</v>
      </c>
      <c r="H55" s="92"/>
      <c r="I55" s="77"/>
    </row>
    <row r="56" spans="1:9" ht="15.75" thickBot="1" x14ac:dyDescent="0.3">
      <c r="A56" s="89">
        <v>37</v>
      </c>
      <c r="B56" s="89" t="s">
        <v>142</v>
      </c>
      <c r="C56" s="89" t="s">
        <v>126</v>
      </c>
      <c r="D56" s="89">
        <v>1991</v>
      </c>
      <c r="E56" s="89">
        <v>86</v>
      </c>
      <c r="F56" s="90">
        <v>3600</v>
      </c>
      <c r="G56" s="91" t="s">
        <v>162</v>
      </c>
      <c r="H56" s="92"/>
      <c r="I56" s="77"/>
    </row>
    <row r="57" spans="1:9" ht="15.75" thickBot="1" x14ac:dyDescent="0.3">
      <c r="A57" s="89">
        <v>38</v>
      </c>
      <c r="B57" s="89" t="s">
        <v>142</v>
      </c>
      <c r="C57" s="89" t="s">
        <v>150</v>
      </c>
      <c r="D57" s="89">
        <v>1991</v>
      </c>
      <c r="E57" s="89">
        <v>80</v>
      </c>
      <c r="F57" s="90">
        <v>3500</v>
      </c>
      <c r="G57" s="91" t="s">
        <v>163</v>
      </c>
      <c r="H57" s="92"/>
      <c r="I57" s="77"/>
    </row>
    <row r="58" spans="1:9" ht="15.75" thickBot="1" x14ac:dyDescent="0.3">
      <c r="A58" s="89">
        <v>39</v>
      </c>
      <c r="B58" s="89" t="s">
        <v>142</v>
      </c>
      <c r="C58" s="89" t="s">
        <v>131</v>
      </c>
      <c r="D58" s="89">
        <v>1992</v>
      </c>
      <c r="E58" s="89">
        <v>54</v>
      </c>
      <c r="F58" s="90">
        <v>4000</v>
      </c>
      <c r="G58" s="91" t="s">
        <v>164</v>
      </c>
      <c r="H58" s="92"/>
      <c r="I58" s="77"/>
    </row>
    <row r="59" spans="1:9" ht="15.75" thickBot="1" x14ac:dyDescent="0.3">
      <c r="A59" s="89">
        <v>40</v>
      </c>
      <c r="B59" s="89" t="s">
        <v>142</v>
      </c>
      <c r="C59" s="89" t="s">
        <v>150</v>
      </c>
      <c r="D59" s="89">
        <v>1993</v>
      </c>
      <c r="E59" s="89">
        <v>75</v>
      </c>
      <c r="F59" s="90">
        <v>3700</v>
      </c>
      <c r="G59" s="91" t="s">
        <v>165</v>
      </c>
      <c r="H59" s="92"/>
      <c r="I59" s="77"/>
    </row>
    <row r="60" spans="1:9" ht="15.75" thickBot="1" x14ac:dyDescent="0.3">
      <c r="A60" s="89">
        <v>41</v>
      </c>
      <c r="B60" s="89" t="s">
        <v>142</v>
      </c>
      <c r="C60" s="89" t="s">
        <v>166</v>
      </c>
      <c r="D60" s="89">
        <v>1990</v>
      </c>
      <c r="E60" s="89">
        <v>88</v>
      </c>
      <c r="F60" s="90">
        <v>3800</v>
      </c>
      <c r="G60" s="91" t="s">
        <v>167</v>
      </c>
      <c r="H60" s="92"/>
      <c r="I60" s="77"/>
    </row>
    <row r="61" spans="1:9" ht="15.75" thickBot="1" x14ac:dyDescent="0.3">
      <c r="A61" s="89">
        <v>42</v>
      </c>
      <c r="B61" s="89" t="s">
        <v>142</v>
      </c>
      <c r="C61" s="89" t="s">
        <v>126</v>
      </c>
      <c r="D61" s="89">
        <v>1991</v>
      </c>
      <c r="E61" s="89">
        <v>69</v>
      </c>
      <c r="F61" s="90">
        <v>3600</v>
      </c>
      <c r="G61" s="91" t="s">
        <v>168</v>
      </c>
      <c r="H61" s="92"/>
      <c r="I61" s="77"/>
    </row>
    <row r="62" spans="1:9" ht="15.75" thickBot="1" x14ac:dyDescent="0.3">
      <c r="A62" s="89">
        <v>43</v>
      </c>
      <c r="B62" s="89" t="s">
        <v>142</v>
      </c>
      <c r="C62" s="89" t="s">
        <v>169</v>
      </c>
      <c r="D62" s="89">
        <v>1992</v>
      </c>
      <c r="E62" s="89">
        <v>62</v>
      </c>
      <c r="F62" s="90">
        <v>3800</v>
      </c>
      <c r="G62" s="91" t="s">
        <v>170</v>
      </c>
      <c r="H62" s="92"/>
      <c r="I62" s="77"/>
    </row>
    <row r="63" spans="1:9" ht="15.75" thickBot="1" x14ac:dyDescent="0.3">
      <c r="A63" s="89">
        <v>44</v>
      </c>
      <c r="B63" s="89" t="s">
        <v>142</v>
      </c>
      <c r="C63" s="89" t="s">
        <v>150</v>
      </c>
      <c r="D63" s="89">
        <v>1992</v>
      </c>
      <c r="E63" s="89">
        <v>56</v>
      </c>
      <c r="F63" s="90">
        <v>3900</v>
      </c>
      <c r="G63" s="91" t="s">
        <v>171</v>
      </c>
      <c r="H63" s="92"/>
      <c r="I63" s="77"/>
    </row>
    <row r="64" spans="1:9" ht="15.75" thickBot="1" x14ac:dyDescent="0.3">
      <c r="A64" s="89">
        <v>45</v>
      </c>
      <c r="B64" s="89" t="s">
        <v>142</v>
      </c>
      <c r="C64" s="89" t="s">
        <v>116</v>
      </c>
      <c r="D64" s="89">
        <v>1993</v>
      </c>
      <c r="E64" s="89">
        <v>85</v>
      </c>
      <c r="F64" s="90">
        <v>3800</v>
      </c>
      <c r="G64" s="91" t="s">
        <v>172</v>
      </c>
      <c r="H64" s="92"/>
      <c r="I64" s="77"/>
    </row>
    <row r="65" spans="1:9" ht="15.75" thickBot="1" x14ac:dyDescent="0.3">
      <c r="A65" s="89">
        <v>46</v>
      </c>
      <c r="B65" s="89" t="s">
        <v>142</v>
      </c>
      <c r="C65" s="89" t="s">
        <v>118</v>
      </c>
      <c r="D65" s="89">
        <v>1990</v>
      </c>
      <c r="E65" s="89">
        <v>96</v>
      </c>
      <c r="F65" s="90">
        <v>3000</v>
      </c>
      <c r="G65" s="91" t="s">
        <v>173</v>
      </c>
      <c r="H65" s="92"/>
      <c r="I65" s="77"/>
    </row>
    <row r="66" spans="1:9" ht="15.75" thickBot="1" x14ac:dyDescent="0.3">
      <c r="A66" s="89">
        <v>47</v>
      </c>
      <c r="B66" s="89" t="s">
        <v>142</v>
      </c>
      <c r="C66" s="89" t="s">
        <v>150</v>
      </c>
      <c r="D66" s="89">
        <v>1992</v>
      </c>
      <c r="E66" s="89">
        <v>70</v>
      </c>
      <c r="F66" s="90">
        <v>3500</v>
      </c>
      <c r="G66" s="91" t="s">
        <v>174</v>
      </c>
      <c r="H66" s="92"/>
      <c r="I66" s="77"/>
    </row>
    <row r="67" spans="1:9" ht="15.75" thickBot="1" x14ac:dyDescent="0.3">
      <c r="A67" s="89">
        <v>48</v>
      </c>
      <c r="B67" s="89" t="s">
        <v>142</v>
      </c>
      <c r="C67" s="89" t="s">
        <v>118</v>
      </c>
      <c r="D67" s="89">
        <v>1990</v>
      </c>
      <c r="E67" s="89">
        <v>95</v>
      </c>
      <c r="F67" s="90">
        <v>3000</v>
      </c>
      <c r="G67" s="91" t="s">
        <v>175</v>
      </c>
      <c r="H67" s="92"/>
      <c r="I67" s="77"/>
    </row>
    <row r="68" spans="1:9" ht="15.75" thickBot="1" x14ac:dyDescent="0.3">
      <c r="A68" s="89">
        <v>49</v>
      </c>
      <c r="B68" s="89" t="s">
        <v>142</v>
      </c>
      <c r="C68" s="89" t="s">
        <v>116</v>
      </c>
      <c r="D68" s="89">
        <v>1992</v>
      </c>
      <c r="E68" s="89">
        <v>70</v>
      </c>
      <c r="F68" s="90">
        <v>3800</v>
      </c>
      <c r="G68" s="91" t="s">
        <v>176</v>
      </c>
      <c r="H68" s="92"/>
      <c r="I68" s="77"/>
    </row>
    <row r="69" spans="1:9" ht="15.75" thickBot="1" x14ac:dyDescent="0.3">
      <c r="A69" s="89">
        <v>50</v>
      </c>
      <c r="B69" s="89" t="s">
        <v>142</v>
      </c>
      <c r="C69" s="89" t="s">
        <v>166</v>
      </c>
      <c r="D69" s="89">
        <v>1990</v>
      </c>
      <c r="E69" s="89">
        <v>60</v>
      </c>
      <c r="F69" s="90">
        <v>3300</v>
      </c>
      <c r="G69" s="91" t="s">
        <v>177</v>
      </c>
      <c r="H69" s="92"/>
      <c r="I69" s="77"/>
    </row>
    <row r="70" spans="1:9" ht="15.75" thickBot="1" x14ac:dyDescent="0.3">
      <c r="A70" s="89">
        <v>51</v>
      </c>
      <c r="B70" s="89" t="s">
        <v>142</v>
      </c>
      <c r="C70" s="89" t="s">
        <v>150</v>
      </c>
      <c r="D70" s="89">
        <v>1991</v>
      </c>
      <c r="E70" s="89">
        <v>62</v>
      </c>
      <c r="F70" s="90">
        <v>3900</v>
      </c>
      <c r="G70" s="91" t="s">
        <v>178</v>
      </c>
      <c r="H70" s="92"/>
      <c r="I70" s="77"/>
    </row>
    <row r="71" spans="1:9" ht="15.75" thickBot="1" x14ac:dyDescent="0.3">
      <c r="A71" s="89">
        <v>52</v>
      </c>
      <c r="B71" s="89" t="s">
        <v>142</v>
      </c>
      <c r="C71" s="89" t="s">
        <v>116</v>
      </c>
      <c r="D71" s="89">
        <v>1991</v>
      </c>
      <c r="E71" s="89">
        <v>53</v>
      </c>
      <c r="F71" s="90">
        <v>3700</v>
      </c>
      <c r="G71" s="91" t="s">
        <v>179</v>
      </c>
      <c r="H71" s="92"/>
      <c r="I71" s="77"/>
    </row>
    <row r="72" spans="1:9" ht="15.75" thickBot="1" x14ac:dyDescent="0.3">
      <c r="A72" s="89">
        <v>53</v>
      </c>
      <c r="B72" s="89" t="s">
        <v>142</v>
      </c>
      <c r="C72" s="89" t="s">
        <v>180</v>
      </c>
      <c r="D72" s="89">
        <v>1991</v>
      </c>
      <c r="E72" s="89">
        <v>77</v>
      </c>
      <c r="F72" s="90">
        <v>3800</v>
      </c>
      <c r="G72" s="91" t="s">
        <v>181</v>
      </c>
      <c r="H72" s="92"/>
      <c r="I72" s="77"/>
    </row>
    <row r="73" spans="1:9" ht="15.75" thickBot="1" x14ac:dyDescent="0.3">
      <c r="A73" s="89">
        <v>54</v>
      </c>
      <c r="B73" s="89" t="s">
        <v>142</v>
      </c>
      <c r="C73" s="89" t="s">
        <v>182</v>
      </c>
      <c r="D73" s="89">
        <v>1993</v>
      </c>
      <c r="E73" s="89">
        <v>56</v>
      </c>
      <c r="F73" s="90">
        <v>4400</v>
      </c>
      <c r="G73" s="91" t="s">
        <v>183</v>
      </c>
      <c r="H73" s="92"/>
      <c r="I73" s="77"/>
    </row>
    <row r="74" spans="1:9" ht="15.75" thickBot="1" x14ac:dyDescent="0.3">
      <c r="A74" s="89">
        <v>55</v>
      </c>
      <c r="B74" s="89" t="s">
        <v>142</v>
      </c>
      <c r="C74" s="89" t="s">
        <v>184</v>
      </c>
      <c r="D74" s="89">
        <v>1991</v>
      </c>
      <c r="E74" s="89">
        <v>78</v>
      </c>
      <c r="F74" s="90">
        <v>3200</v>
      </c>
      <c r="G74" s="91" t="s">
        <v>185</v>
      </c>
      <c r="H74" s="92"/>
      <c r="I74" s="77"/>
    </row>
    <row r="75" spans="1:9" ht="15.75" thickBot="1" x14ac:dyDescent="0.3">
      <c r="A75" s="89">
        <v>56</v>
      </c>
      <c r="B75" s="89" t="s">
        <v>142</v>
      </c>
      <c r="C75" s="89" t="s">
        <v>116</v>
      </c>
      <c r="D75" s="89">
        <v>1992</v>
      </c>
      <c r="E75" s="89">
        <v>81</v>
      </c>
      <c r="F75" s="90">
        <v>3200</v>
      </c>
      <c r="G75" s="91" t="s">
        <v>186</v>
      </c>
      <c r="H75" s="92"/>
      <c r="I75" s="77"/>
    </row>
    <row r="76" spans="1:9" ht="15.75" thickBot="1" x14ac:dyDescent="0.3">
      <c r="A76" s="89">
        <v>57</v>
      </c>
      <c r="B76" s="89" t="s">
        <v>142</v>
      </c>
      <c r="C76" s="89" t="s">
        <v>126</v>
      </c>
      <c r="D76" s="89">
        <v>1991</v>
      </c>
      <c r="E76" s="89">
        <v>81</v>
      </c>
      <c r="F76" s="90">
        <v>3200</v>
      </c>
      <c r="G76" s="91" t="s">
        <v>187</v>
      </c>
      <c r="H76" s="92"/>
      <c r="I76" s="77"/>
    </row>
    <row r="77" spans="1:9" ht="15.75" thickBot="1" x14ac:dyDescent="0.3">
      <c r="A77" s="89">
        <v>58</v>
      </c>
      <c r="B77" s="89" t="s">
        <v>142</v>
      </c>
      <c r="C77" s="89" t="s">
        <v>118</v>
      </c>
      <c r="D77" s="89">
        <v>1993</v>
      </c>
      <c r="E77" s="89">
        <v>77</v>
      </c>
      <c r="F77" s="90">
        <v>3800</v>
      </c>
      <c r="G77" s="91" t="s">
        <v>188</v>
      </c>
      <c r="H77" s="92"/>
      <c r="I77" s="77"/>
    </row>
    <row r="78" spans="1:9" ht="15.75" thickBot="1" x14ac:dyDescent="0.3">
      <c r="A78" s="89">
        <v>59</v>
      </c>
      <c r="B78" s="89" t="s">
        <v>128</v>
      </c>
      <c r="C78" s="89" t="s">
        <v>150</v>
      </c>
      <c r="D78" s="89">
        <v>1992</v>
      </c>
      <c r="E78" s="89">
        <v>58</v>
      </c>
      <c r="F78" s="90">
        <v>4000</v>
      </c>
      <c r="G78" s="91" t="s">
        <v>189</v>
      </c>
      <c r="H78" s="92"/>
      <c r="I78" s="77"/>
    </row>
    <row r="79" spans="1:9" ht="15.75" thickBot="1" x14ac:dyDescent="0.3">
      <c r="A79" s="89">
        <v>60</v>
      </c>
      <c r="B79" s="89" t="s">
        <v>142</v>
      </c>
      <c r="C79" s="89" t="s">
        <v>118</v>
      </c>
      <c r="D79" s="89">
        <v>1991</v>
      </c>
      <c r="E79" s="89">
        <v>76</v>
      </c>
      <c r="F79" s="90">
        <v>3500</v>
      </c>
      <c r="G79" s="91" t="s">
        <v>190</v>
      </c>
      <c r="H79" s="92"/>
      <c r="I79" s="77"/>
    </row>
    <row r="80" spans="1:9" ht="15.75" thickBot="1" x14ac:dyDescent="0.3">
      <c r="A80" s="89">
        <v>61</v>
      </c>
      <c r="B80" s="89" t="s">
        <v>191</v>
      </c>
      <c r="C80" s="89" t="s">
        <v>118</v>
      </c>
      <c r="D80" s="89">
        <v>1992</v>
      </c>
      <c r="E80" s="89">
        <v>80</v>
      </c>
      <c r="F80" s="90">
        <v>4500</v>
      </c>
      <c r="G80" s="91" t="s">
        <v>192</v>
      </c>
      <c r="H80" s="92"/>
      <c r="I80" s="77"/>
    </row>
    <row r="81" spans="1:9" ht="15.75" thickBot="1" x14ac:dyDescent="0.3">
      <c r="A81" s="89">
        <v>62</v>
      </c>
      <c r="B81" s="89" t="s">
        <v>142</v>
      </c>
      <c r="C81" s="89" t="s">
        <v>116</v>
      </c>
      <c r="D81" s="89">
        <v>1992</v>
      </c>
      <c r="E81" s="89">
        <v>120</v>
      </c>
      <c r="F81" s="90">
        <v>4300</v>
      </c>
      <c r="G81" s="91" t="s">
        <v>193</v>
      </c>
      <c r="H81" s="92"/>
      <c r="I81" s="77"/>
    </row>
    <row r="82" spans="1:9" ht="15.75" thickBot="1" x14ac:dyDescent="0.3">
      <c r="A82" s="89">
        <v>63</v>
      </c>
      <c r="B82" s="89" t="s">
        <v>191</v>
      </c>
      <c r="C82" s="89" t="s">
        <v>131</v>
      </c>
      <c r="D82" s="89">
        <v>1991</v>
      </c>
      <c r="E82" s="89">
        <v>55</v>
      </c>
      <c r="F82" s="90">
        <v>3500</v>
      </c>
      <c r="G82" s="91" t="s">
        <v>194</v>
      </c>
      <c r="H82" s="92"/>
      <c r="I82" s="77"/>
    </row>
    <row r="83" spans="1:9" ht="15.75" thickBot="1" x14ac:dyDescent="0.3">
      <c r="A83" s="89">
        <v>64</v>
      </c>
      <c r="B83" s="89" t="s">
        <v>191</v>
      </c>
      <c r="C83" s="89" t="s">
        <v>169</v>
      </c>
      <c r="D83" s="89">
        <v>1992</v>
      </c>
      <c r="E83" s="89">
        <v>125</v>
      </c>
      <c r="F83" s="90">
        <v>3800</v>
      </c>
      <c r="G83" s="91" t="s">
        <v>195</v>
      </c>
      <c r="H83" s="92"/>
      <c r="I83" s="77"/>
    </row>
    <row r="84" spans="1:9" ht="15.75" thickBot="1" x14ac:dyDescent="0.3">
      <c r="A84" s="89">
        <v>65</v>
      </c>
      <c r="B84" s="89" t="s">
        <v>142</v>
      </c>
      <c r="C84" s="89" t="s">
        <v>150</v>
      </c>
      <c r="D84" s="89">
        <v>1992</v>
      </c>
      <c r="E84" s="89">
        <v>56</v>
      </c>
      <c r="F84" s="90">
        <v>4300</v>
      </c>
      <c r="G84" s="91" t="s">
        <v>196</v>
      </c>
      <c r="H84" s="92"/>
      <c r="I84" s="77"/>
    </row>
    <row r="85" spans="1:9" ht="15.75" thickBot="1" x14ac:dyDescent="0.3">
      <c r="A85" s="89">
        <v>66</v>
      </c>
      <c r="B85" s="89" t="s">
        <v>128</v>
      </c>
      <c r="C85" s="89" t="s">
        <v>116</v>
      </c>
      <c r="D85" s="89">
        <v>1993</v>
      </c>
      <c r="E85" s="89">
        <v>85</v>
      </c>
      <c r="F85" s="90">
        <v>3800</v>
      </c>
      <c r="G85" s="91" t="s">
        <v>197</v>
      </c>
      <c r="H85" s="92"/>
      <c r="I85" s="77"/>
    </row>
    <row r="86" spans="1:9" ht="15.75" thickBot="1" x14ac:dyDescent="0.3">
      <c r="A86" s="89">
        <v>67</v>
      </c>
      <c r="B86" s="89" t="s">
        <v>142</v>
      </c>
      <c r="C86" s="89" t="s">
        <v>118</v>
      </c>
      <c r="D86" s="89">
        <v>1990</v>
      </c>
      <c r="E86" s="89">
        <v>96</v>
      </c>
      <c r="F86" s="90">
        <v>3000</v>
      </c>
      <c r="G86" s="91" t="s">
        <v>198</v>
      </c>
      <c r="H86" s="92"/>
      <c r="I86" s="77"/>
    </row>
    <row r="87" spans="1:9" ht="15.75" thickBot="1" x14ac:dyDescent="0.3">
      <c r="A87" s="89">
        <v>68</v>
      </c>
      <c r="B87" s="89" t="s">
        <v>191</v>
      </c>
      <c r="C87" s="89" t="s">
        <v>150</v>
      </c>
      <c r="D87" s="89">
        <v>1992</v>
      </c>
      <c r="E87" s="89">
        <v>70</v>
      </c>
      <c r="F87" s="90">
        <v>5500</v>
      </c>
      <c r="G87" s="91" t="s">
        <v>199</v>
      </c>
      <c r="H87" s="92"/>
      <c r="I87" s="77"/>
    </row>
    <row r="88" spans="1:9" ht="15.75" thickBot="1" x14ac:dyDescent="0.3">
      <c r="A88" s="89">
        <v>69</v>
      </c>
      <c r="B88" s="89" t="s">
        <v>142</v>
      </c>
      <c r="C88" s="89" t="s">
        <v>118</v>
      </c>
      <c r="D88" s="89">
        <v>1990</v>
      </c>
      <c r="E88" s="89">
        <v>95</v>
      </c>
      <c r="F88" s="90">
        <v>3000</v>
      </c>
      <c r="G88" s="91" t="s">
        <v>200</v>
      </c>
      <c r="H88" s="92"/>
      <c r="I88" s="77"/>
    </row>
    <row r="89" spans="1:9" ht="15.75" thickBot="1" x14ac:dyDescent="0.3">
      <c r="A89" s="89">
        <v>70</v>
      </c>
      <c r="B89" s="89" t="s">
        <v>191</v>
      </c>
      <c r="C89" s="89" t="s">
        <v>116</v>
      </c>
      <c r="D89" s="89">
        <v>1992</v>
      </c>
      <c r="E89" s="89">
        <v>70</v>
      </c>
      <c r="F89" s="90">
        <v>3800</v>
      </c>
      <c r="G89" s="91" t="s">
        <v>201</v>
      </c>
      <c r="H89" s="92"/>
      <c r="I89" s="77"/>
    </row>
    <row r="90" spans="1:9" ht="15.75" thickBot="1" x14ac:dyDescent="0.3">
      <c r="A90" s="89">
        <v>71</v>
      </c>
      <c r="B90" s="89" t="s">
        <v>142</v>
      </c>
      <c r="C90" s="89" t="s">
        <v>166</v>
      </c>
      <c r="D90" s="89">
        <v>1990</v>
      </c>
      <c r="E90" s="89">
        <v>60</v>
      </c>
      <c r="F90" s="90">
        <v>4300</v>
      </c>
      <c r="G90" s="91" t="s">
        <v>202</v>
      </c>
      <c r="H90" s="92"/>
      <c r="I90" s="77"/>
    </row>
    <row r="91" spans="1:9" ht="15.75" thickBot="1" x14ac:dyDescent="0.3">
      <c r="A91" s="89">
        <v>72</v>
      </c>
      <c r="B91" s="89" t="s">
        <v>191</v>
      </c>
      <c r="C91" s="89" t="s">
        <v>150</v>
      </c>
      <c r="D91" s="89">
        <v>1991</v>
      </c>
      <c r="E91" s="89">
        <v>62</v>
      </c>
      <c r="F91" s="90">
        <v>3900</v>
      </c>
      <c r="G91" s="91" t="s">
        <v>203</v>
      </c>
      <c r="H91" s="92"/>
      <c r="I91" s="77"/>
    </row>
    <row r="92" spans="1:9" ht="15.75" thickBot="1" x14ac:dyDescent="0.3">
      <c r="A92" s="89">
        <v>73</v>
      </c>
      <c r="B92" s="89" t="s">
        <v>142</v>
      </c>
      <c r="C92" s="89" t="s">
        <v>116</v>
      </c>
      <c r="D92" s="89">
        <v>1991</v>
      </c>
      <c r="E92" s="89">
        <v>53</v>
      </c>
      <c r="F92" s="90">
        <v>3700</v>
      </c>
      <c r="G92" s="91" t="s">
        <v>204</v>
      </c>
      <c r="H92" s="92"/>
      <c r="I92" s="77"/>
    </row>
    <row r="93" spans="1:9" ht="15.75" thickBot="1" x14ac:dyDescent="0.3">
      <c r="A93" s="89">
        <v>74</v>
      </c>
      <c r="B93" s="89" t="s">
        <v>191</v>
      </c>
      <c r="C93" s="89" t="s">
        <v>180</v>
      </c>
      <c r="D93" s="89">
        <v>1991</v>
      </c>
      <c r="E93" s="89">
        <v>58</v>
      </c>
      <c r="F93" s="90">
        <v>4300</v>
      </c>
      <c r="G93" s="91" t="s">
        <v>205</v>
      </c>
      <c r="H93" s="92"/>
      <c r="I93" s="77"/>
    </row>
    <row r="94" spans="1:9" ht="15.75" thickBot="1" x14ac:dyDescent="0.3">
      <c r="A94" s="89">
        <v>75</v>
      </c>
      <c r="B94" s="89" t="s">
        <v>128</v>
      </c>
      <c r="C94" s="89" t="s">
        <v>182</v>
      </c>
      <c r="D94" s="89">
        <v>1993</v>
      </c>
      <c r="E94" s="89">
        <v>56</v>
      </c>
      <c r="F94" s="90">
        <v>5500</v>
      </c>
      <c r="G94" s="91" t="s">
        <v>206</v>
      </c>
      <c r="H94" s="92"/>
      <c r="I94" s="77"/>
    </row>
    <row r="95" spans="1:9" ht="15.75" thickBot="1" x14ac:dyDescent="0.3">
      <c r="A95" s="89">
        <v>76</v>
      </c>
      <c r="B95" s="89" t="s">
        <v>191</v>
      </c>
      <c r="C95" s="89" t="s">
        <v>184</v>
      </c>
      <c r="D95" s="89">
        <v>1991</v>
      </c>
      <c r="E95" s="89">
        <v>78</v>
      </c>
      <c r="F95" s="90">
        <v>3200</v>
      </c>
      <c r="G95" s="91" t="s">
        <v>207</v>
      </c>
      <c r="H95" s="92"/>
      <c r="I95" s="77"/>
    </row>
    <row r="96" spans="1:9" ht="15.75" thickBot="1" x14ac:dyDescent="0.3">
      <c r="A96" s="89">
        <v>77</v>
      </c>
      <c r="B96" s="89" t="s">
        <v>142</v>
      </c>
      <c r="C96" s="89" t="s">
        <v>116</v>
      </c>
      <c r="D96" s="89">
        <v>1992</v>
      </c>
      <c r="E96" s="89">
        <v>81</v>
      </c>
      <c r="F96" s="90">
        <v>4300</v>
      </c>
      <c r="G96" s="91" t="s">
        <v>208</v>
      </c>
      <c r="H96" s="92"/>
      <c r="I96" s="77"/>
    </row>
    <row r="97" spans="1:9" ht="15.75" thickBot="1" x14ac:dyDescent="0.3">
      <c r="A97" s="89">
        <v>78</v>
      </c>
      <c r="B97" s="89" t="s">
        <v>191</v>
      </c>
      <c r="C97" s="89" t="s">
        <v>126</v>
      </c>
      <c r="D97" s="89">
        <v>1991</v>
      </c>
      <c r="E97" s="89">
        <v>81</v>
      </c>
      <c r="F97" s="90">
        <v>3200</v>
      </c>
      <c r="G97" s="91" t="s">
        <v>209</v>
      </c>
      <c r="H97" s="92"/>
      <c r="I97" s="77"/>
    </row>
    <row r="98" spans="1:9" ht="15.75" thickBot="1" x14ac:dyDescent="0.3">
      <c r="A98" s="89">
        <v>79</v>
      </c>
      <c r="B98" s="89" t="s">
        <v>142</v>
      </c>
      <c r="C98" s="89" t="s">
        <v>118</v>
      </c>
      <c r="D98" s="89">
        <v>1993</v>
      </c>
      <c r="E98" s="89">
        <v>77</v>
      </c>
      <c r="F98" s="90">
        <v>3800</v>
      </c>
      <c r="G98" s="91" t="s">
        <v>210</v>
      </c>
      <c r="H98" s="92"/>
      <c r="I98" s="77"/>
    </row>
    <row r="99" spans="1:9" ht="15.75" thickBot="1" x14ac:dyDescent="0.3">
      <c r="A99" s="89">
        <v>80</v>
      </c>
      <c r="B99" s="89" t="s">
        <v>191</v>
      </c>
      <c r="C99" s="89" t="s">
        <v>150</v>
      </c>
      <c r="D99" s="89">
        <v>1992</v>
      </c>
      <c r="E99" s="89">
        <v>58</v>
      </c>
      <c r="F99" s="90">
        <v>4300</v>
      </c>
      <c r="G99" s="91" t="s">
        <v>211</v>
      </c>
      <c r="H99" s="92"/>
      <c r="I99" s="77"/>
    </row>
    <row r="100" spans="1:9" ht="15.75" thickBot="1" x14ac:dyDescent="0.3">
      <c r="A100" s="89">
        <v>81</v>
      </c>
      <c r="B100" s="89" t="s">
        <v>191</v>
      </c>
      <c r="C100" s="89" t="s">
        <v>118</v>
      </c>
      <c r="D100" s="89">
        <v>1991</v>
      </c>
      <c r="E100" s="89">
        <v>45</v>
      </c>
      <c r="F100" s="90">
        <v>3500</v>
      </c>
      <c r="G100" s="91" t="s">
        <v>212</v>
      </c>
      <c r="H100" s="92"/>
      <c r="I100" s="77"/>
    </row>
    <row r="101" spans="1:9" ht="15.75" thickBot="1" x14ac:dyDescent="0.3">
      <c r="A101" s="89">
        <v>82</v>
      </c>
      <c r="B101" s="89" t="s">
        <v>191</v>
      </c>
      <c r="C101" s="89" t="s">
        <v>118</v>
      </c>
      <c r="D101" s="89">
        <v>1991</v>
      </c>
      <c r="E101" s="89">
        <v>76</v>
      </c>
      <c r="F101" s="90">
        <v>3500</v>
      </c>
      <c r="G101" s="91" t="s">
        <v>213</v>
      </c>
      <c r="H101" s="92"/>
      <c r="I101" s="77"/>
    </row>
    <row r="102" spans="1:9" ht="15.75" thickBot="1" x14ac:dyDescent="0.3">
      <c r="A102" s="89">
        <v>83</v>
      </c>
      <c r="B102" s="89" t="s">
        <v>142</v>
      </c>
      <c r="C102" s="89" t="s">
        <v>116</v>
      </c>
      <c r="D102" s="89">
        <v>1992</v>
      </c>
      <c r="E102" s="89">
        <v>77</v>
      </c>
      <c r="F102" s="90">
        <v>4300</v>
      </c>
      <c r="G102" s="91" t="s">
        <v>214</v>
      </c>
      <c r="H102" s="92"/>
      <c r="I102" s="77"/>
    </row>
    <row r="103" spans="1:9" ht="15.75" thickBot="1" x14ac:dyDescent="0.3">
      <c r="A103" s="89">
        <v>84</v>
      </c>
      <c r="B103" s="89" t="s">
        <v>142</v>
      </c>
      <c r="C103" s="89" t="s">
        <v>131</v>
      </c>
      <c r="D103" s="89">
        <v>1991</v>
      </c>
      <c r="E103" s="89">
        <v>55</v>
      </c>
      <c r="F103" s="90">
        <v>5500</v>
      </c>
      <c r="G103" s="91" t="s">
        <v>215</v>
      </c>
      <c r="H103" s="92"/>
      <c r="I103" s="77"/>
    </row>
    <row r="104" spans="1:9" x14ac:dyDescent="0.25">
      <c r="H104" s="78"/>
    </row>
    <row r="105" spans="1:9" x14ac:dyDescent="0.25">
      <c r="H105" s="78"/>
    </row>
    <row r="106" spans="1:9" x14ac:dyDescent="0.25">
      <c r="H106" s="78"/>
    </row>
    <row r="107" spans="1:9" x14ac:dyDescent="0.25">
      <c r="H107" s="78"/>
    </row>
    <row r="108" spans="1:9" x14ac:dyDescent="0.25">
      <c r="H108" s="78"/>
    </row>
    <row r="109" spans="1:9" x14ac:dyDescent="0.25">
      <c r="H109" s="78"/>
    </row>
    <row r="110" spans="1:9" x14ac:dyDescent="0.25">
      <c r="H110" s="78"/>
    </row>
    <row r="111" spans="1:9" x14ac:dyDescent="0.25">
      <c r="H111" s="78"/>
    </row>
    <row r="112" spans="1:9" x14ac:dyDescent="0.25">
      <c r="H112" s="78"/>
    </row>
    <row r="113" spans="6:8" x14ac:dyDescent="0.25">
      <c r="H113" s="78"/>
    </row>
    <row r="114" spans="6:8" x14ac:dyDescent="0.25">
      <c r="H114" s="78"/>
    </row>
    <row r="115" spans="6:8" x14ac:dyDescent="0.25">
      <c r="H115" s="78"/>
    </row>
    <row r="116" spans="6:8" x14ac:dyDescent="0.25">
      <c r="H116" s="78"/>
    </row>
    <row r="117" spans="6:8" x14ac:dyDescent="0.25">
      <c r="H117" s="78"/>
    </row>
    <row r="118" spans="6:8" x14ac:dyDescent="0.25">
      <c r="H118" s="78"/>
    </row>
    <row r="119" spans="6:8" x14ac:dyDescent="0.25">
      <c r="H119" s="78"/>
    </row>
    <row r="120" spans="6:8" x14ac:dyDescent="0.25">
      <c r="H120" s="78"/>
    </row>
    <row r="121" spans="6:8" x14ac:dyDescent="0.25">
      <c r="H121" s="78"/>
    </row>
    <row r="123" spans="6:8" ht="15.75" thickBot="1" x14ac:dyDescent="0.3"/>
    <row r="124" spans="6:8" ht="15.75" thickBot="1" x14ac:dyDescent="0.3">
      <c r="F124" s="79"/>
      <c r="G124" s="8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I37"/>
  <sheetViews>
    <sheetView workbookViewId="0">
      <selection activeCell="N24" sqref="N24"/>
    </sheetView>
  </sheetViews>
  <sheetFormatPr defaultRowHeight="15" x14ac:dyDescent="0.25"/>
  <cols>
    <col min="1" max="8" width="14.140625" style="71" customWidth="1"/>
    <col min="9" max="9" width="11.7109375" style="71" customWidth="1"/>
    <col min="10" max="16384" width="9.140625" style="71"/>
  </cols>
  <sheetData>
    <row r="15" spans="1:9" ht="15.75" x14ac:dyDescent="0.25">
      <c r="A15" s="93" t="s">
        <v>216</v>
      </c>
      <c r="B15" s="93" t="s">
        <v>217</v>
      </c>
      <c r="C15" s="93" t="s">
        <v>218</v>
      </c>
      <c r="D15" s="93" t="s">
        <v>219</v>
      </c>
      <c r="E15" s="93" t="s">
        <v>220</v>
      </c>
      <c r="F15" s="93" t="s">
        <v>221</v>
      </c>
      <c r="G15" s="93" t="s">
        <v>222</v>
      </c>
      <c r="H15" s="93" t="s">
        <v>223</v>
      </c>
      <c r="I15" s="93" t="s">
        <v>224</v>
      </c>
    </row>
    <row r="16" spans="1:9" ht="15.75" x14ac:dyDescent="0.25">
      <c r="A16" s="93" t="s">
        <v>225</v>
      </c>
      <c r="B16" s="94" t="s">
        <v>226</v>
      </c>
      <c r="C16" s="94" t="s">
        <v>227</v>
      </c>
      <c r="D16" s="94" t="s">
        <v>228</v>
      </c>
      <c r="E16" s="94" t="s">
        <v>229</v>
      </c>
      <c r="F16" s="94" t="s">
        <v>230</v>
      </c>
      <c r="G16" s="94" t="s">
        <v>231</v>
      </c>
      <c r="H16" s="95" t="s">
        <v>232</v>
      </c>
      <c r="I16" s="95" t="s">
        <v>233</v>
      </c>
    </row>
    <row r="17" spans="1:9" ht="15.75" x14ac:dyDescent="0.25">
      <c r="A17" s="96" t="s">
        <v>234</v>
      </c>
      <c r="B17" s="97">
        <v>4.5</v>
      </c>
      <c r="C17" s="98">
        <v>3</v>
      </c>
      <c r="D17" s="97">
        <v>3.5</v>
      </c>
      <c r="E17" s="97">
        <v>5</v>
      </c>
      <c r="F17" s="97">
        <v>3.5</v>
      </c>
      <c r="G17" s="97">
        <f>SUM(B17:F17)</f>
        <v>19.5</v>
      </c>
      <c r="H17" s="99" t="str">
        <f>IF(G17&lt;19,"Нет",IF(G17&gt;23.5,"Повыш","Да"))</f>
        <v>Да</v>
      </c>
      <c r="I17" s="100">
        <f>IF(G17&lt;19,"Нет",IF(G17&gt;23.5,11300/100*65,11300/100*30))</f>
        <v>3390</v>
      </c>
    </row>
    <row r="18" spans="1:9" ht="15.75" x14ac:dyDescent="0.25">
      <c r="A18" s="96" t="s">
        <v>235</v>
      </c>
      <c r="B18" s="97">
        <v>4</v>
      </c>
      <c r="C18" s="98">
        <v>4</v>
      </c>
      <c r="D18" s="97">
        <v>4</v>
      </c>
      <c r="E18" s="97">
        <v>3.5</v>
      </c>
      <c r="F18" s="97">
        <v>4</v>
      </c>
      <c r="G18" s="97">
        <f t="shared" ref="G18:G33" si="0">SUM(B18:F18)</f>
        <v>19.5</v>
      </c>
      <c r="H18" s="99" t="str">
        <f>IF(G18&lt;19,"Нет",IF(G18&gt;23.5,"Повыш","Да"))</f>
        <v>Да</v>
      </c>
      <c r="I18" s="100">
        <f t="shared" ref="I18:I33" si="1">IF(G18&lt;19,"Нет",IF(G18&gt;23.5,11300/100*65,11300/100*30))</f>
        <v>3390</v>
      </c>
    </row>
    <row r="19" spans="1:9" ht="15.75" x14ac:dyDescent="0.25">
      <c r="A19" s="96" t="s">
        <v>236</v>
      </c>
      <c r="B19" s="97">
        <v>3.5</v>
      </c>
      <c r="C19" s="98">
        <v>5</v>
      </c>
      <c r="D19" s="97">
        <v>5</v>
      </c>
      <c r="E19" s="97">
        <v>4</v>
      </c>
      <c r="F19" s="97">
        <v>5</v>
      </c>
      <c r="G19" s="97">
        <f t="shared" si="0"/>
        <v>22.5</v>
      </c>
      <c r="H19" s="99" t="str">
        <f>IF(G19&lt;19,"Нет",IF(G19&gt;23.5,"Повыш","Да"))</f>
        <v>Да</v>
      </c>
      <c r="I19" s="100">
        <f t="shared" si="1"/>
        <v>3390</v>
      </c>
    </row>
    <row r="20" spans="1:9" ht="15.75" x14ac:dyDescent="0.25">
      <c r="A20" s="96" t="s">
        <v>237</v>
      </c>
      <c r="B20" s="97">
        <v>3</v>
      </c>
      <c r="C20" s="97">
        <v>4.5</v>
      </c>
      <c r="D20" s="97">
        <v>3</v>
      </c>
      <c r="E20" s="97">
        <v>3</v>
      </c>
      <c r="F20" s="97">
        <v>3.5</v>
      </c>
      <c r="G20" s="97">
        <f t="shared" si="0"/>
        <v>17</v>
      </c>
      <c r="H20" s="99" t="str">
        <f>IF(G20&lt;19,"Нет",IF(G20&gt;23.5,"Повыш","Да"))</f>
        <v>Нет</v>
      </c>
      <c r="I20" s="100" t="str">
        <f t="shared" si="1"/>
        <v>Нет</v>
      </c>
    </row>
    <row r="21" spans="1:9" ht="15.75" x14ac:dyDescent="0.25">
      <c r="A21" s="96" t="s">
        <v>238</v>
      </c>
      <c r="B21" s="97">
        <v>3.5</v>
      </c>
      <c r="C21" s="97">
        <v>3.5</v>
      </c>
      <c r="D21" s="97">
        <v>3</v>
      </c>
      <c r="E21" s="97">
        <v>3</v>
      </c>
      <c r="F21" s="97">
        <v>3.5</v>
      </c>
      <c r="G21" s="97">
        <f t="shared" si="0"/>
        <v>16.5</v>
      </c>
      <c r="H21" s="99" t="str">
        <f>IF(G21&lt;19,"Нет",IF(G21&gt;23.5,"Повыш","Да"))</f>
        <v>Нет</v>
      </c>
      <c r="I21" s="100" t="str">
        <f t="shared" si="1"/>
        <v>Нет</v>
      </c>
    </row>
    <row r="22" spans="1:9" ht="15.75" x14ac:dyDescent="0.25">
      <c r="A22" s="96" t="s">
        <v>239</v>
      </c>
      <c r="B22" s="97">
        <v>3.5</v>
      </c>
      <c r="C22" s="97">
        <v>4</v>
      </c>
      <c r="D22" s="97">
        <v>5</v>
      </c>
      <c r="E22" s="97">
        <v>5</v>
      </c>
      <c r="F22" s="97">
        <v>5</v>
      </c>
      <c r="G22" s="97">
        <f t="shared" si="0"/>
        <v>22.5</v>
      </c>
      <c r="H22" s="99" t="str">
        <f>IF(G22&lt;19,"Нет",IF(G22&gt;23.5,"Повыш","Да"))</f>
        <v>Да</v>
      </c>
      <c r="I22" s="100">
        <f t="shared" si="1"/>
        <v>3390</v>
      </c>
    </row>
    <row r="23" spans="1:9" ht="15.75" x14ac:dyDescent="0.25">
      <c r="A23" s="96" t="s">
        <v>240</v>
      </c>
      <c r="B23" s="97">
        <v>5</v>
      </c>
      <c r="C23" s="97">
        <v>5</v>
      </c>
      <c r="D23" s="97">
        <v>5</v>
      </c>
      <c r="E23" s="97">
        <v>5</v>
      </c>
      <c r="F23" s="97">
        <v>5</v>
      </c>
      <c r="G23" s="97">
        <f t="shared" si="0"/>
        <v>25</v>
      </c>
      <c r="H23" s="99" t="str">
        <f>IF(G23&lt;19,"Нет",IF(G23&gt;23.5,"Повыш","Да"))</f>
        <v>Повыш</v>
      </c>
      <c r="I23" s="100">
        <f t="shared" si="1"/>
        <v>7345</v>
      </c>
    </row>
    <row r="24" spans="1:9" ht="15.75" x14ac:dyDescent="0.25">
      <c r="A24" s="96" t="s">
        <v>241</v>
      </c>
      <c r="B24" s="97">
        <v>5</v>
      </c>
      <c r="C24" s="97">
        <v>4.5</v>
      </c>
      <c r="D24" s="97">
        <v>4</v>
      </c>
      <c r="E24" s="97">
        <v>5</v>
      </c>
      <c r="F24" s="97">
        <v>4.5</v>
      </c>
      <c r="G24" s="97">
        <f t="shared" si="0"/>
        <v>23</v>
      </c>
      <c r="H24" s="99" t="str">
        <f>IF(G24&lt;19,"Нет",IF(G24&gt;23.5,"Повыш","Да"))</f>
        <v>Да</v>
      </c>
      <c r="I24" s="100">
        <f t="shared" si="1"/>
        <v>3390</v>
      </c>
    </row>
    <row r="25" spans="1:9" ht="15.75" x14ac:dyDescent="0.25">
      <c r="A25" s="96" t="s">
        <v>242</v>
      </c>
      <c r="B25" s="97">
        <v>4.5</v>
      </c>
      <c r="C25" s="97">
        <v>5</v>
      </c>
      <c r="D25" s="97">
        <v>4</v>
      </c>
      <c r="E25" s="97">
        <v>4.5</v>
      </c>
      <c r="F25" s="97">
        <v>3.5</v>
      </c>
      <c r="G25" s="97">
        <f t="shared" si="0"/>
        <v>21.5</v>
      </c>
      <c r="H25" s="99" t="str">
        <f>IF(G25&lt;19,"Нет",IF(G25&gt;23.5,"Повыш","Да"))</f>
        <v>Да</v>
      </c>
      <c r="I25" s="100">
        <f t="shared" si="1"/>
        <v>3390</v>
      </c>
    </row>
    <row r="26" spans="1:9" ht="15.75" x14ac:dyDescent="0.25">
      <c r="A26" s="96" t="s">
        <v>243</v>
      </c>
      <c r="B26" s="97">
        <v>5</v>
      </c>
      <c r="C26" s="97">
        <v>5</v>
      </c>
      <c r="D26" s="97">
        <v>3</v>
      </c>
      <c r="E26" s="97">
        <v>5</v>
      </c>
      <c r="F26" s="97">
        <v>4</v>
      </c>
      <c r="G26" s="97">
        <f t="shared" si="0"/>
        <v>22</v>
      </c>
      <c r="H26" s="99" t="str">
        <f>IF(G26&lt;19,"Нет",IF(G26&gt;23.5,"Повыш","Да"))</f>
        <v>Да</v>
      </c>
      <c r="I26" s="100">
        <f t="shared" si="1"/>
        <v>3390</v>
      </c>
    </row>
    <row r="27" spans="1:9" ht="15.75" x14ac:dyDescent="0.25">
      <c r="A27" s="96" t="s">
        <v>244</v>
      </c>
      <c r="B27" s="97">
        <v>5</v>
      </c>
      <c r="C27" s="97">
        <v>3</v>
      </c>
      <c r="D27" s="97">
        <v>5</v>
      </c>
      <c r="E27" s="97">
        <v>5</v>
      </c>
      <c r="F27" s="97">
        <v>5</v>
      </c>
      <c r="G27" s="97">
        <f t="shared" si="0"/>
        <v>23</v>
      </c>
      <c r="H27" s="99" t="str">
        <f>IF(G27&lt;19,"Нет",IF(G27&gt;23.5,"Повыш","Да"))</f>
        <v>Да</v>
      </c>
      <c r="I27" s="100">
        <f t="shared" si="1"/>
        <v>3390</v>
      </c>
    </row>
    <row r="28" spans="1:9" ht="15.75" x14ac:dyDescent="0.25">
      <c r="A28" s="96" t="s">
        <v>245</v>
      </c>
      <c r="B28" s="97">
        <v>3.5</v>
      </c>
      <c r="C28" s="97">
        <v>3.5</v>
      </c>
      <c r="D28" s="97">
        <v>3.5</v>
      </c>
      <c r="E28" s="97">
        <v>4</v>
      </c>
      <c r="F28" s="97">
        <v>3</v>
      </c>
      <c r="G28" s="97">
        <f t="shared" si="0"/>
        <v>17.5</v>
      </c>
      <c r="H28" s="99" t="str">
        <f t="shared" ref="H28:H33" si="2">IF(G28&lt;19,"Нет",IF(G28&gt;23.5,"Повыш","Да"))</f>
        <v>Нет</v>
      </c>
      <c r="I28" s="100" t="str">
        <f t="shared" si="1"/>
        <v>Нет</v>
      </c>
    </row>
    <row r="29" spans="1:9" ht="15.75" x14ac:dyDescent="0.25">
      <c r="A29" s="96" t="s">
        <v>246</v>
      </c>
      <c r="B29" s="97">
        <v>4</v>
      </c>
      <c r="C29" s="97">
        <v>4</v>
      </c>
      <c r="D29" s="97">
        <v>4</v>
      </c>
      <c r="E29" s="97">
        <v>5</v>
      </c>
      <c r="F29" s="97">
        <v>5</v>
      </c>
      <c r="G29" s="97">
        <f t="shared" si="0"/>
        <v>22</v>
      </c>
      <c r="H29" s="99" t="str">
        <f t="shared" si="2"/>
        <v>Да</v>
      </c>
      <c r="I29" s="100">
        <f t="shared" si="1"/>
        <v>3390</v>
      </c>
    </row>
    <row r="30" spans="1:9" ht="15.75" x14ac:dyDescent="0.25">
      <c r="A30" s="96" t="s">
        <v>247</v>
      </c>
      <c r="B30" s="97">
        <v>5</v>
      </c>
      <c r="C30" s="97">
        <v>5</v>
      </c>
      <c r="D30" s="97">
        <v>4</v>
      </c>
      <c r="E30" s="97">
        <v>5</v>
      </c>
      <c r="F30" s="97">
        <v>5</v>
      </c>
      <c r="G30" s="97">
        <f t="shared" si="0"/>
        <v>24</v>
      </c>
      <c r="H30" s="99" t="str">
        <f t="shared" si="2"/>
        <v>Повыш</v>
      </c>
      <c r="I30" s="100">
        <f t="shared" si="1"/>
        <v>7345</v>
      </c>
    </row>
    <row r="31" spans="1:9" ht="15.75" x14ac:dyDescent="0.25">
      <c r="A31" s="96" t="s">
        <v>248</v>
      </c>
      <c r="B31" s="97">
        <v>5</v>
      </c>
      <c r="C31" s="97">
        <v>4.5</v>
      </c>
      <c r="D31" s="97">
        <v>4.5</v>
      </c>
      <c r="E31" s="97">
        <v>5</v>
      </c>
      <c r="F31" s="97">
        <v>4.5</v>
      </c>
      <c r="G31" s="97">
        <f t="shared" si="0"/>
        <v>23.5</v>
      </c>
      <c r="H31" s="99" t="str">
        <f t="shared" si="2"/>
        <v>Да</v>
      </c>
      <c r="I31" s="100">
        <f t="shared" si="1"/>
        <v>3390</v>
      </c>
    </row>
    <row r="32" spans="1:9" ht="15.75" x14ac:dyDescent="0.25">
      <c r="A32" s="96" t="s">
        <v>249</v>
      </c>
      <c r="B32" s="97">
        <v>5</v>
      </c>
      <c r="C32" s="97">
        <v>5</v>
      </c>
      <c r="D32" s="97">
        <v>5</v>
      </c>
      <c r="E32" s="97">
        <v>4</v>
      </c>
      <c r="F32" s="97">
        <v>4</v>
      </c>
      <c r="G32" s="97">
        <f t="shared" si="0"/>
        <v>23</v>
      </c>
      <c r="H32" s="99" t="str">
        <f t="shared" si="2"/>
        <v>Да</v>
      </c>
      <c r="I32" s="100">
        <f t="shared" si="1"/>
        <v>3390</v>
      </c>
    </row>
    <row r="33" spans="1:9" ht="15.75" x14ac:dyDescent="0.25">
      <c r="A33" s="96" t="s">
        <v>250</v>
      </c>
      <c r="B33" s="97">
        <v>5</v>
      </c>
      <c r="C33" s="97">
        <v>5</v>
      </c>
      <c r="D33" s="97">
        <v>5</v>
      </c>
      <c r="E33" s="97">
        <v>5</v>
      </c>
      <c r="F33" s="97">
        <v>5</v>
      </c>
      <c r="G33" s="97">
        <f t="shared" si="0"/>
        <v>25</v>
      </c>
      <c r="H33" s="99" t="str">
        <f t="shared" si="2"/>
        <v>Повыш</v>
      </c>
      <c r="I33" s="100">
        <f t="shared" si="1"/>
        <v>7345</v>
      </c>
    </row>
    <row r="34" spans="1:9" x14ac:dyDescent="0.25">
      <c r="H34" s="101"/>
    </row>
    <row r="35" spans="1:9" x14ac:dyDescent="0.25">
      <c r="H35" s="101"/>
      <c r="I35" s="102"/>
    </row>
    <row r="36" spans="1:9" x14ac:dyDescent="0.25">
      <c r="H36" s="102"/>
      <c r="I36" s="102"/>
    </row>
    <row r="37" spans="1:9" x14ac:dyDescent="0.25">
      <c r="H37" s="103"/>
      <c r="I37" s="10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L26" sqref="L26"/>
    </sheetView>
  </sheetViews>
  <sheetFormatPr defaultRowHeight="15" x14ac:dyDescent="0.25"/>
  <sheetData>
    <row r="1" spans="1:14" x14ac:dyDescent="0.25">
      <c r="A1" s="106" t="s">
        <v>251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8"/>
    </row>
    <row r="2" spans="1:14" x14ac:dyDescent="0.25">
      <c r="A2" s="109" t="s">
        <v>271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1"/>
    </row>
    <row r="3" spans="1:14" ht="15.75" thickBot="1" x14ac:dyDescent="0.3">
      <c r="A3" s="109" t="s">
        <v>252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</row>
    <row r="4" spans="1:14" ht="15.75" thickBot="1" x14ac:dyDescent="0.3">
      <c r="A4" s="112" t="s">
        <v>253</v>
      </c>
      <c r="B4" s="104" t="s">
        <v>254</v>
      </c>
      <c r="C4" s="104" t="s">
        <v>255</v>
      </c>
      <c r="D4" s="104" t="s">
        <v>256</v>
      </c>
      <c r="E4" s="104" t="s">
        <v>257</v>
      </c>
      <c r="F4" s="104" t="s">
        <v>258</v>
      </c>
      <c r="G4" s="104" t="s">
        <v>259</v>
      </c>
      <c r="H4" s="104" t="s">
        <v>260</v>
      </c>
      <c r="I4" s="104" t="s">
        <v>261</v>
      </c>
      <c r="J4" s="104" t="s">
        <v>262</v>
      </c>
      <c r="K4" s="104" t="s">
        <v>263</v>
      </c>
      <c r="L4" s="113" t="s">
        <v>264</v>
      </c>
    </row>
    <row r="5" spans="1:14" ht="15.75" thickBot="1" x14ac:dyDescent="0.3">
      <c r="A5" s="114">
        <v>1200</v>
      </c>
      <c r="B5" s="105">
        <v>2500</v>
      </c>
      <c r="C5" s="105">
        <v>3800</v>
      </c>
      <c r="D5" s="105">
        <v>3000</v>
      </c>
      <c r="E5" s="105">
        <v>2900</v>
      </c>
      <c r="F5" s="105">
        <v>3500</v>
      </c>
      <c r="G5" s="105">
        <v>4000</v>
      </c>
      <c r="H5" s="105">
        <v>4200</v>
      </c>
      <c r="I5" s="105">
        <v>4500</v>
      </c>
      <c r="J5" s="105">
        <v>4100</v>
      </c>
      <c r="K5" s="105">
        <v>2900</v>
      </c>
      <c r="L5" s="115">
        <v>2100</v>
      </c>
    </row>
    <row r="6" spans="1:14" x14ac:dyDescent="0.25">
      <c r="A6" s="109" t="s">
        <v>265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4" x14ac:dyDescent="0.25">
      <c r="A7" s="109" t="s">
        <v>266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4" x14ac:dyDescent="0.25">
      <c r="A8" s="109" t="s">
        <v>270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4" x14ac:dyDescent="0.25">
      <c r="A9" s="109" t="s">
        <v>268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1"/>
    </row>
    <row r="10" spans="1:14" x14ac:dyDescent="0.25">
      <c r="A10" s="116" t="s">
        <v>269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1"/>
    </row>
    <row r="11" spans="1:14" x14ac:dyDescent="0.25">
      <c r="A11" s="117" t="s">
        <v>267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9"/>
    </row>
    <row r="12" spans="1:14" x14ac:dyDescent="0.25">
      <c r="C12" t="s">
        <v>253</v>
      </c>
      <c r="D12" t="s">
        <v>254</v>
      </c>
      <c r="E12" t="s">
        <v>255</v>
      </c>
      <c r="F12" t="s">
        <v>256</v>
      </c>
      <c r="G12" t="s">
        <v>257</v>
      </c>
      <c r="H12" t="s">
        <v>258</v>
      </c>
      <c r="I12" t="s">
        <v>259</v>
      </c>
      <c r="J12" t="s">
        <v>260</v>
      </c>
      <c r="K12" t="s">
        <v>261</v>
      </c>
      <c r="L12" t="s">
        <v>262</v>
      </c>
      <c r="M12" t="s">
        <v>263</v>
      </c>
      <c r="N12" t="s">
        <v>264</v>
      </c>
    </row>
    <row r="13" spans="1:14" x14ac:dyDescent="0.25">
      <c r="A13" t="s">
        <v>279</v>
      </c>
      <c r="B13">
        <f>SUM(C13:N13)/100*85</f>
        <v>784545.75000000012</v>
      </c>
      <c r="C13">
        <f>A$5/100*45*53</f>
        <v>28620</v>
      </c>
      <c r="D13">
        <f t="shared" ref="D13:N13" si="0">B$5/100*45*53</f>
        <v>59625</v>
      </c>
      <c r="E13">
        <f t="shared" si="0"/>
        <v>90630</v>
      </c>
      <c r="F13">
        <f t="shared" si="0"/>
        <v>71550</v>
      </c>
      <c r="G13">
        <f t="shared" si="0"/>
        <v>69165</v>
      </c>
      <c r="H13">
        <f t="shared" si="0"/>
        <v>83475</v>
      </c>
      <c r="I13">
        <f t="shared" si="0"/>
        <v>95400</v>
      </c>
      <c r="J13">
        <f t="shared" si="0"/>
        <v>100170</v>
      </c>
      <c r="K13">
        <f t="shared" si="0"/>
        <v>107325</v>
      </c>
      <c r="L13">
        <f t="shared" si="0"/>
        <v>97785</v>
      </c>
      <c r="M13">
        <f t="shared" si="0"/>
        <v>69165</v>
      </c>
      <c r="N13">
        <f>L$5/100*45*53</f>
        <v>50085</v>
      </c>
    </row>
    <row r="15" spans="1:14" x14ac:dyDescent="0.25">
      <c r="A15" t="s">
        <v>280</v>
      </c>
      <c r="B15">
        <f>SUM(C15:N15)/100*85</f>
        <v>23379463.350000001</v>
      </c>
      <c r="C15">
        <f>A$5/100*45*53*29.8</f>
        <v>852876</v>
      </c>
      <c r="D15">
        <f t="shared" ref="D15:N15" si="1">B$5/100*45*53*29.8</f>
        <v>1776825</v>
      </c>
      <c r="E15">
        <f t="shared" si="1"/>
        <v>2700774</v>
      </c>
      <c r="F15">
        <f t="shared" si="1"/>
        <v>2132190</v>
      </c>
      <c r="G15">
        <f t="shared" si="1"/>
        <v>2061117</v>
      </c>
      <c r="H15">
        <f t="shared" si="1"/>
        <v>2487555</v>
      </c>
      <c r="I15">
        <f t="shared" si="1"/>
        <v>2842920</v>
      </c>
      <c r="J15">
        <f t="shared" si="1"/>
        <v>2985066</v>
      </c>
      <c r="K15">
        <f t="shared" si="1"/>
        <v>3198285</v>
      </c>
      <c r="L15">
        <f t="shared" si="1"/>
        <v>2913993</v>
      </c>
      <c r="M15">
        <f t="shared" si="1"/>
        <v>2061117</v>
      </c>
      <c r="N15">
        <f t="shared" si="1"/>
        <v>1492533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A17" sqref="A17"/>
    </sheetView>
  </sheetViews>
  <sheetFormatPr defaultRowHeight="15" x14ac:dyDescent="0.25"/>
  <sheetData>
    <row r="1" spans="1:14" ht="18.75" x14ac:dyDescent="0.3">
      <c r="A1" s="120" t="s">
        <v>274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18.75" x14ac:dyDescent="0.3">
      <c r="A2" s="121" t="s">
        <v>272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5"/>
    </row>
    <row r="3" spans="1:14" ht="18.75" x14ac:dyDescent="0.3">
      <c r="A3" s="122" t="s">
        <v>273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4" ht="15.75" x14ac:dyDescent="0.25">
      <c r="A4" s="45"/>
    </row>
    <row r="5" spans="1:14" ht="15.75" x14ac:dyDescent="0.25">
      <c r="A5" s="45"/>
    </row>
    <row r="6" spans="1:14" ht="15.75" x14ac:dyDescent="0.25">
      <c r="A6" s="45"/>
    </row>
    <row r="7" spans="1:14" ht="15.75" x14ac:dyDescent="0.25">
      <c r="A7" s="45"/>
    </row>
    <row r="8" spans="1:14" ht="15.75" x14ac:dyDescent="0.25">
      <c r="A8" s="45"/>
    </row>
    <row r="9" spans="1:14" ht="15.75" x14ac:dyDescent="0.25">
      <c r="A9" s="45"/>
    </row>
    <row r="10" spans="1:14" ht="15.75" x14ac:dyDescent="0.25">
      <c r="A10" s="45"/>
    </row>
    <row r="11" spans="1:14" ht="15.75" x14ac:dyDescent="0.25">
      <c r="A11" s="45"/>
    </row>
    <row r="12" spans="1:14" ht="15.75" x14ac:dyDescent="0.25">
      <c r="A12" s="45"/>
    </row>
    <row r="13" spans="1:14" ht="15.75" x14ac:dyDescent="0.25">
      <c r="A13" s="45"/>
    </row>
    <row r="14" spans="1:14" ht="15.75" x14ac:dyDescent="0.25">
      <c r="A14" s="45"/>
    </row>
    <row r="15" spans="1:14" ht="15.75" x14ac:dyDescent="0.25">
      <c r="A15" s="45"/>
    </row>
    <row r="16" spans="1:14" x14ac:dyDescent="0.25">
      <c r="A16" t="s">
        <v>281</v>
      </c>
      <c r="D16" s="125">
        <f>IF(A16="красный",1,0)</f>
        <v>0</v>
      </c>
    </row>
    <row r="17" spans="4:4" x14ac:dyDescent="0.25">
      <c r="D17" s="125">
        <f>IF(A16="желтый",1,0)</f>
        <v>1</v>
      </c>
    </row>
    <row r="18" spans="4:4" x14ac:dyDescent="0.25">
      <c r="D18" s="125">
        <f>IF(A16="зеленый",1,0)</f>
        <v>0</v>
      </c>
    </row>
  </sheetData>
  <conditionalFormatting sqref="D16">
    <cfRule type="cellIs" dxfId="11" priority="8" operator="equal">
      <formula>0</formula>
    </cfRule>
    <cfRule type="cellIs" dxfId="10" priority="9" operator="equal">
      <formula>1</formula>
    </cfRule>
  </conditionalFormatting>
  <conditionalFormatting sqref="D17">
    <cfRule type="cellIs" dxfId="9" priority="3" operator="equal">
      <formula>0</formula>
    </cfRule>
    <cfRule type="cellIs" dxfId="8" priority="4" operator="equal">
      <formula>1</formula>
    </cfRule>
  </conditionalFormatting>
  <conditionalFormatting sqref="D18">
    <cfRule type="cellIs" dxfId="7" priority="1" operator="equal">
      <formula>0</formula>
    </cfRule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6"/>
  <sheetViews>
    <sheetView workbookViewId="0">
      <selection activeCell="O14" sqref="O14"/>
    </sheetView>
  </sheetViews>
  <sheetFormatPr defaultRowHeight="15" x14ac:dyDescent="0.25"/>
  <cols>
    <col min="1" max="1" width="9.140625" customWidth="1"/>
  </cols>
  <sheetData>
    <row r="4" spans="1:1" ht="15.75" x14ac:dyDescent="0.25">
      <c r="A4" s="123"/>
    </row>
    <row r="5" spans="1:1" ht="15.75" x14ac:dyDescent="0.25">
      <c r="A5" s="44"/>
    </row>
    <row r="6" spans="1:1" ht="15.75" x14ac:dyDescent="0.25">
      <c r="A6" s="44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26" sqref="Q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1_Решить уравнение</vt:lpstr>
      <vt:lpstr>2_Расчет таблицы</vt:lpstr>
      <vt:lpstr>3_График</vt:lpstr>
      <vt:lpstr>4_Текстовые функции</vt:lpstr>
      <vt:lpstr>5_автомобили</vt:lpstr>
      <vt:lpstr>6_стипендия</vt:lpstr>
      <vt:lpstr>7_Расчет таблицы</vt:lpstr>
      <vt:lpstr>8_Сфетофор</vt:lpstr>
      <vt:lpstr>9_Биоритмы</vt:lpstr>
      <vt:lpstr>10_кредит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GOU39</dc:creator>
  <cp:lastModifiedBy>Антонов Артём Леонидович</cp:lastModifiedBy>
  <cp:lastPrinted>2012-02-02T05:12:34Z</cp:lastPrinted>
  <dcterms:created xsi:type="dcterms:W3CDTF">2012-01-23T11:21:38Z</dcterms:created>
  <dcterms:modified xsi:type="dcterms:W3CDTF">2026-02-11T11:59:00Z</dcterms:modified>
</cp:coreProperties>
</file>